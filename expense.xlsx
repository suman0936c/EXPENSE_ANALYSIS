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49171dbaf657a0/Desktop/project/expense_analysis/"/>
    </mc:Choice>
  </mc:AlternateContent>
  <xr:revisionPtr revIDLastSave="76" documentId="8_{3A32C518-3873-40CA-A531-75DDBBD3C310}" xr6:coauthVersionLast="47" xr6:coauthVersionMax="47" xr10:uidLastSave="{CC172D8D-CC14-406E-A252-A4D42D7DFD10}"/>
  <bookViews>
    <workbookView xWindow="-108" yWindow="-108" windowWidth="23256" windowHeight="14616" activeTab="2" xr2:uid="{AE49E9D0-1DCE-42C4-A25F-F0BD40577C49}"/>
  </bookViews>
  <sheets>
    <sheet name="data" sheetId="1" r:id="rId1"/>
    <sheet name="HELPER" sheetId="3" r:id="rId2"/>
    <sheet name="Dashboard" sheetId="2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H4" i="1"/>
  <c r="H101" i="1"/>
  <c r="F4" i="2"/>
  <c r="F13" i="2" a="1"/>
  <c r="F13" i="2"/>
  <c r="A5" i="3"/>
  <c r="B5" i="3" s="1"/>
  <c r="A6" i="3"/>
  <c r="B6" i="3" s="1"/>
  <c r="A7" i="3"/>
  <c r="B7" i="3" s="1"/>
  <c r="A8" i="3"/>
  <c r="B8" i="3" s="1"/>
  <c r="A9" i="3"/>
  <c r="B9" i="3" s="1"/>
  <c r="A10" i="3"/>
  <c r="B10" i="3" s="1"/>
  <c r="A11" i="3"/>
  <c r="B11" i="3" s="1"/>
  <c r="A12" i="3"/>
  <c r="B12" i="3" s="1"/>
  <c r="A13" i="3"/>
  <c r="B13" i="3" s="1"/>
  <c r="A14" i="3"/>
  <c r="B14" i="3" s="1"/>
  <c r="A15" i="3"/>
  <c r="B15" i="3" s="1"/>
  <c r="A16" i="3"/>
  <c r="B16" i="3" s="1"/>
  <c r="A17" i="3"/>
  <c r="B17" i="3" s="1"/>
  <c r="A18" i="3"/>
  <c r="B18" i="3" s="1"/>
  <c r="A19" i="3"/>
  <c r="B19" i="3" s="1"/>
  <c r="A20" i="3"/>
  <c r="B20" i="3" s="1"/>
  <c r="A21" i="3"/>
  <c r="B21" i="3" s="1"/>
  <c r="A22" i="3"/>
  <c r="B22" i="3" s="1"/>
  <c r="A23" i="3"/>
  <c r="B23" i="3" s="1"/>
  <c r="A24" i="3"/>
  <c r="B24" i="3" s="1"/>
  <c r="A25" i="3"/>
  <c r="B25" i="3" s="1"/>
  <c r="A26" i="3"/>
  <c r="B26" i="3" s="1"/>
  <c r="A27" i="3"/>
  <c r="B27" i="3" s="1"/>
  <c r="A28" i="3"/>
  <c r="B28" i="3" s="1"/>
  <c r="A29" i="3"/>
  <c r="B29" i="3" s="1"/>
  <c r="A30" i="3"/>
  <c r="B30" i="3" s="1"/>
  <c r="A31" i="3"/>
  <c r="B31" i="3" s="1"/>
  <c r="A3" i="3"/>
  <c r="B3" i="3" s="1"/>
  <c r="A4" i="3"/>
  <c r="B4" i="3" s="1"/>
  <c r="A2" i="3"/>
  <c r="A1" i="3"/>
  <c r="H2" i="1"/>
  <c r="H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F10" i="2" l="1"/>
  <c r="F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<sst xmlns="http://schemas.openxmlformats.org/spreadsheetml/2006/main" count="623" uniqueCount="47">
  <si>
    <t>DATE</t>
  </si>
  <si>
    <t>DAY</t>
  </si>
  <si>
    <t>DAY_TYPE</t>
  </si>
  <si>
    <t>CATEGORY</t>
  </si>
  <si>
    <t>DESCRIPTION</t>
  </si>
  <si>
    <t>AMOUNT</t>
  </si>
  <si>
    <t>PAYMENT_MODE</t>
  </si>
  <si>
    <t>DAILY_EXPENSES</t>
  </si>
  <si>
    <t>Thursday</t>
  </si>
  <si>
    <t>weekday</t>
  </si>
  <si>
    <t>Food</t>
  </si>
  <si>
    <t>Lunch</t>
  </si>
  <si>
    <t>UPI</t>
  </si>
  <si>
    <t>Dinner</t>
  </si>
  <si>
    <t>Snacks</t>
  </si>
  <si>
    <t>Cash</t>
  </si>
  <si>
    <t>Travel</t>
  </si>
  <si>
    <t>Bus fare</t>
  </si>
  <si>
    <t>Friday</t>
  </si>
  <si>
    <t>Saturday</t>
  </si>
  <si>
    <t>weekend</t>
  </si>
  <si>
    <t>Auto fare</t>
  </si>
  <si>
    <t>Entertainment</t>
  </si>
  <si>
    <t>Movie ticket</t>
  </si>
  <si>
    <t>Sunday</t>
  </si>
  <si>
    <t>Cab ride</t>
  </si>
  <si>
    <t>Monday</t>
  </si>
  <si>
    <t>Academics</t>
  </si>
  <si>
    <t>Books purchase</t>
  </si>
  <si>
    <t>Tuesday</t>
  </si>
  <si>
    <t>Wednesday</t>
  </si>
  <si>
    <t>Metro recharge</t>
  </si>
  <si>
    <t>Shopping</t>
  </si>
  <si>
    <t>Clothes purchase</t>
  </si>
  <si>
    <t>Online course fee</t>
  </si>
  <si>
    <t>Movie night</t>
  </si>
  <si>
    <t>Others</t>
  </si>
  <si>
    <t>Mobile recharge</t>
  </si>
  <si>
    <t>Shoes purchase</t>
  </si>
  <si>
    <t>Daily Total</t>
  </si>
  <si>
    <t>Sum of AMOUNT</t>
  </si>
  <si>
    <t>Grand Total</t>
  </si>
  <si>
    <t>EXPENSE ANALYSIS DASHBOARD</t>
  </si>
  <si>
    <t>Total Monthly Spend</t>
  </si>
  <si>
    <t>Average Daily Spend</t>
  </si>
  <si>
    <t>Highest Spending Day</t>
  </si>
  <si>
    <t>Top Spending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</si>
</sst>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[$₹-4009]\ #,##0.00"/>
    <numFmt numFmtId="167" formatCode="_ [$₹-4009]\ * #,##0.00_ ;_ [$₹-4009]\ * \-#,##0.00_ ;_ [$₹-4009]\ * &quot;-&quot;??_ ;_ @_ 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Aptos Narrow"/>
      <charset val="1"/>
    </font>
    <font>
      <i/>
      <sz val="11"/>
      <color theme="1"/>
      <name val="Calibri"/>
      <family val="2"/>
      <scheme val="minor"/>
    </font>
    <font>
      <b/>
      <i/>
      <u/>
      <sz val="24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charset val="1"/>
    </font>
    <font>
      <sz val="14"/>
      <color rgb="FF000000"/>
      <name val="Calibri"/>
      <charset val="1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uble">
        <color theme="2"/>
      </left>
      <right style="double">
        <color theme="2"/>
      </right>
      <top/>
      <bottom style="double">
        <color theme="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20" xfId="0" applyBorder="1"/>
    <xf numFmtId="0" fontId="0" fillId="33" borderId="15" xfId="0" applyFill="1" applyBorder="1"/>
    <xf numFmtId="0" fontId="0" fillId="33" borderId="0" xfId="0" applyFill="1"/>
    <xf numFmtId="0" fontId="0" fillId="33" borderId="16" xfId="0" applyFill="1" applyBorder="1"/>
    <xf numFmtId="0" fontId="18" fillId="33" borderId="15" xfId="0" applyFont="1" applyFill="1" applyBorder="1"/>
    <xf numFmtId="0" fontId="0" fillId="33" borderId="17" xfId="0" applyFill="1" applyBorder="1"/>
    <xf numFmtId="0" fontId="0" fillId="33" borderId="18" xfId="0" applyFill="1" applyBorder="1"/>
    <xf numFmtId="0" fontId="0" fillId="33" borderId="19" xfId="0" applyFill="1" applyBorder="1"/>
    <xf numFmtId="0" fontId="22" fillId="33" borderId="11" xfId="0" applyFont="1" applyFill="1" applyBorder="1" applyAlignment="1">
      <alignment horizontal="center"/>
    </xf>
    <xf numFmtId="0" fontId="23" fillId="33" borderId="16" xfId="0" applyFont="1" applyFill="1" applyBorder="1" applyAlignment="1">
      <alignment horizontal="center"/>
    </xf>
    <xf numFmtId="0" fontId="23" fillId="33" borderId="11" xfId="0" applyFont="1" applyFill="1" applyBorder="1" applyAlignment="1">
      <alignment horizontal="center"/>
    </xf>
    <xf numFmtId="0" fontId="24" fillId="33" borderId="11" xfId="0" applyFont="1" applyFill="1" applyBorder="1" applyAlignment="1">
      <alignment horizontal="center"/>
    </xf>
    <xf numFmtId="164" fontId="21" fillId="34" borderId="10" xfId="0" applyNumberFormat="1" applyFont="1" applyFill="1" applyBorder="1" applyAlignment="1">
      <alignment horizontal="center"/>
    </xf>
    <xf numFmtId="14" fontId="21" fillId="34" borderId="10" xfId="0" applyNumberFormat="1" applyFont="1" applyFill="1" applyBorder="1" applyAlignment="1">
      <alignment horizontal="center" wrapText="1"/>
    </xf>
    <xf numFmtId="0" fontId="21" fillId="34" borderId="10" xfId="0" applyFont="1" applyFill="1" applyBorder="1" applyAlignment="1">
      <alignment horizontal="center"/>
    </xf>
    <xf numFmtId="0" fontId="23" fillId="33" borderId="0" xfId="0" applyFont="1" applyFill="1" applyAlignment="1">
      <alignment horizontal="center"/>
    </xf>
    <xf numFmtId="0" fontId="0" fillId="33" borderId="14" xfId="0" applyFill="1" applyBorder="1"/>
    <xf numFmtId="164" fontId="21" fillId="33" borderId="16" xfId="0" applyNumberFormat="1" applyFont="1" applyFill="1" applyBorder="1" applyAlignment="1">
      <alignment horizontal="center"/>
    </xf>
    <xf numFmtId="0" fontId="22" fillId="33" borderId="16" xfId="0" applyFont="1" applyFill="1" applyBorder="1" applyAlignment="1">
      <alignment horizontal="center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/>
    </xf>
    <xf numFmtId="0" fontId="24" fillId="33" borderId="16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19" fillId="33" borderId="13" xfId="0" applyFont="1" applyFill="1" applyBorder="1" applyAlignment="1">
      <alignment horizontal="center"/>
    </xf>
    <xf numFmtId="0" fontId="19" fillId="33" borderId="17" xfId="0" applyFont="1" applyFill="1" applyBorder="1" applyAlignment="1">
      <alignment horizontal="center"/>
    </xf>
    <xf numFmtId="0" fontId="19" fillId="33" borderId="18" xfId="0" applyFont="1" applyFill="1" applyBorder="1" applyAlignment="1">
      <alignment horizontal="center"/>
    </xf>
    <xf numFmtId="167" fontId="0" fillId="0" borderId="0" xfId="0" applyNumberFormat="1"/>
    <xf numFmtId="4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[expense.xlsx]HELPER!PivotTable3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HELPER!$H$2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HELPER!$G$3:$G$9</c:f>
              <c:strCache>
                <c:ptCount val="6"/>
                <c:pt idx="0">
                  <c:v>Academics</c:v>
                </c:pt>
                <c:pt idx="1">
                  <c:v>Entertainment</c:v>
                </c:pt>
                <c:pt idx="2">
                  <c:v>Food</c:v>
                </c:pt>
                <c:pt idx="3">
                  <c:v>Others</c:v>
                </c:pt>
                <c:pt idx="4">
                  <c:v>Shopping</c:v>
                </c:pt>
                <c:pt idx="5">
                  <c:v>Travel</c:v>
                </c:pt>
              </c:strCache>
            </c:strRef>
          </c:cat>
          <c:val>
            <c:numRef>
              <c:f>HELPER!$H$3:$H$9</c:f>
              <c:numCache>
                <c:formatCode>_("₹"* #,##0.00_);_("₹"* \(#,##0.00\);_("₹"* "-"??_);_(@_)</c:formatCode>
                <c:ptCount val="6"/>
                <c:pt idx="0">
                  <c:v>1449</c:v>
                </c:pt>
                <c:pt idx="1">
                  <c:v>550</c:v>
                </c:pt>
                <c:pt idx="2">
                  <c:v>6170</c:v>
                </c:pt>
                <c:pt idx="3">
                  <c:v>239</c:v>
                </c:pt>
                <c:pt idx="4">
                  <c:v>3000</c:v>
                </c:pt>
                <c:pt idx="5">
                  <c:v>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CB-494D-AB08-A61E75DCF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564552"/>
        <c:axId val="92975624"/>
      </c:barChart>
      <c:catAx>
        <c:axId val="9156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75624"/>
        <c:crosses val="autoZero"/>
        <c:auto val="1"/>
        <c:lblAlgn val="ctr"/>
        <c:lblOffset val="100"/>
        <c:noMultiLvlLbl val="0"/>
      </c:catAx>
      <c:valAx>
        <c:axId val="92975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64552"/>
        <c:crosses val="autoZero"/>
        <c:crossBetween val="between"/>
        <c:majorUnit val="1000"/>
        <c:minorUnit val="1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2EFD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[expense.xlsx]HELPER!PivotTable1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Weekday vs Weekend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HELPER!$E$2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HELPER!$D$3:$D$5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HELPER!$E$3:$E$5</c:f>
              <c:numCache>
                <c:formatCode>_("₹"* #,##0.00_);_("₹"* \(#,##0.00\);_("₹"* "-"??_);_(@_)</c:formatCode>
                <c:ptCount val="2"/>
                <c:pt idx="0">
                  <c:v>9453</c:v>
                </c:pt>
                <c:pt idx="1">
                  <c:v>5080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9A-4D10-BF2F-F4B833FEE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2786695"/>
        <c:axId val="2132801031"/>
      </c:barChart>
      <c:catAx>
        <c:axId val="2132786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801031"/>
        <c:crosses val="autoZero"/>
        <c:auto val="1"/>
        <c:lblAlgn val="ctr"/>
        <c:lblOffset val="100"/>
        <c:noMultiLvlLbl val="0"/>
      </c:catAx>
      <c:valAx>
        <c:axId val="2132801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86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2EFD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Expense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HELPER!$B$1</c:f>
              <c:strCache>
                <c:ptCount val="1"/>
                <c:pt idx="0">
                  <c:v>Daily 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HELPER!$A$2:$A$31</c:f>
              <c:numCache>
                <c:formatCode>m/d/yyyy</c:formatCode>
                <c:ptCount val="30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</c:numCache>
            </c:numRef>
          </c:cat>
          <c:val>
            <c:numRef>
              <c:f>HELPER!$B$2:$B$31</c:f>
              <c:numCache>
                <c:formatCode>_ [$₹-4009]\ * #,##0.00_ ;_ [$₹-4009]\ * \-#,##0.00_ ;_ [$₹-4009]\ * "-"??_ ;_ @_ </c:formatCode>
                <c:ptCount val="30"/>
                <c:pt idx="0">
                  <c:v>255</c:v>
                </c:pt>
                <c:pt idx="1">
                  <c:v>250</c:v>
                </c:pt>
                <c:pt idx="2">
                  <c:v>530</c:v>
                </c:pt>
                <c:pt idx="3">
                  <c:v>395</c:v>
                </c:pt>
                <c:pt idx="4">
                  <c:v>680</c:v>
                </c:pt>
                <c:pt idx="5">
                  <c:v>245</c:v>
                </c:pt>
                <c:pt idx="6">
                  <c:v>520</c:v>
                </c:pt>
                <c:pt idx="7">
                  <c:v>275</c:v>
                </c:pt>
                <c:pt idx="8">
                  <c:v>1445</c:v>
                </c:pt>
                <c:pt idx="9">
                  <c:v>295</c:v>
                </c:pt>
                <c:pt idx="10">
                  <c:v>395</c:v>
                </c:pt>
                <c:pt idx="11">
                  <c:v>230</c:v>
                </c:pt>
                <c:pt idx="12">
                  <c:v>245</c:v>
                </c:pt>
                <c:pt idx="13">
                  <c:v>520</c:v>
                </c:pt>
                <c:pt idx="14">
                  <c:v>1274</c:v>
                </c:pt>
                <c:pt idx="15">
                  <c:v>245</c:v>
                </c:pt>
                <c:pt idx="16">
                  <c:v>595</c:v>
                </c:pt>
                <c:pt idx="17">
                  <c:v>395</c:v>
                </c:pt>
                <c:pt idx="18">
                  <c:v>230</c:v>
                </c:pt>
                <c:pt idx="19">
                  <c:v>484</c:v>
                </c:pt>
                <c:pt idx="20">
                  <c:v>520</c:v>
                </c:pt>
                <c:pt idx="21">
                  <c:v>275</c:v>
                </c:pt>
                <c:pt idx="22">
                  <c:v>245</c:v>
                </c:pt>
                <c:pt idx="23">
                  <c:v>2090</c:v>
                </c:pt>
                <c:pt idx="24">
                  <c:v>385</c:v>
                </c:pt>
                <c:pt idx="25">
                  <c:v>230</c:v>
                </c:pt>
                <c:pt idx="26">
                  <c:v>245</c:v>
                </c:pt>
                <c:pt idx="27">
                  <c:v>520</c:v>
                </c:pt>
                <c:pt idx="28">
                  <c:v>275</c:v>
                </c:pt>
                <c:pt idx="29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08-4455-A772-1929BC861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26280"/>
        <c:axId val="91137032"/>
      </c:lineChart>
      <c:dateAx>
        <c:axId val="91126280"/>
        <c:scaling>
          <c:orientation val="minMax"/>
        </c:scaling>
        <c:delete val="0"/>
        <c:axPos val="b"/>
        <c:numFmt formatCode="d/m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37032"/>
        <c:crosses val="autoZero"/>
        <c:auto val="1"/>
        <c:lblOffset val="100"/>
        <c:baseTimeUnit val="days"/>
        <c:majorUnit val="2"/>
      </c:dateAx>
      <c:valAx>
        <c:axId val="91137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26280"/>
        <c:crossesAt val="46023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2EFD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14</xdr:row>
      <xdr:rowOff>47625</xdr:rowOff>
    </xdr:from>
    <xdr:to>
      <xdr:col>4</xdr:col>
      <xdr:colOff>428625</xdr:colOff>
      <xdr:row>27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875225-E62B-FE08-B9D8-AC57595D5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495300</xdr:colOff>
      <xdr:row>14</xdr:row>
      <xdr:rowOff>28575</xdr:rowOff>
    </xdr:from>
    <xdr:to>
      <xdr:col>5</xdr:col>
      <xdr:colOff>1762125</xdr:colOff>
      <xdr:row>27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671F94-950F-703F-53A7-A2ED8A64D9A3}"/>
            </a:ext>
            <a:ext uri="{147F2762-F138-4A5C-976F-8EAC2B608ADB}">
              <a16:predDERef xmlns:a16="http://schemas.microsoft.com/office/drawing/2014/main" pred="{59875225-E62B-FE08-B9D8-AC57595D5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3</xdr:row>
      <xdr:rowOff>0</xdr:rowOff>
    </xdr:from>
    <xdr:to>
      <xdr:col>4</xdr:col>
      <xdr:colOff>5591175</xdr:colOff>
      <xdr:row>14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1F316C-8FB8-DF96-6A7D-358E2FAC5E4D}"/>
            </a:ext>
            <a:ext uri="{147F2762-F138-4A5C-976F-8EAC2B608ADB}">
              <a16:predDERef xmlns:a16="http://schemas.microsoft.com/office/drawing/2014/main" pred="{19671F94-950F-703F-53A7-A2ED8A64D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5.057458333336" createdVersion="8" refreshedVersion="8" minRefreshableVersion="3" recordCount="120" xr:uid="{FB5F98AB-8A8E-4936-880B-D82F26A3B727}">
  <cacheSource type="worksheet">
    <worksheetSource ref="A1:H1048576" sheet="data"/>
  </cacheSource>
  <cacheFields count="8">
    <cacheField name="DATE" numFmtId="14">
      <sharedItems containsNonDate="0" containsDate="1" containsString="0" containsBlank="1" minDate="2026-01-01T00:00:00" maxDate="2026-01-31T00:00:00"/>
    </cacheField>
    <cacheField name="DAY" numFmtId="0">
      <sharedItems containsBlank="1"/>
    </cacheField>
    <cacheField name="DAY_TYPE" numFmtId="0">
      <sharedItems containsBlank="1" count="3">
        <s v="weekday"/>
        <s v="weekend"/>
        <m/>
      </sharedItems>
    </cacheField>
    <cacheField name="CATEGORY" numFmtId="0">
      <sharedItems containsBlank="1" count="7">
        <s v="Food"/>
        <s v="Travel"/>
        <s v="Entertainment"/>
        <s v="Academics"/>
        <s v="Shopping"/>
        <s v="Others"/>
        <m/>
      </sharedItems>
    </cacheField>
    <cacheField name="DESCRIPTION" numFmtId="0">
      <sharedItems containsBlank="1"/>
    </cacheField>
    <cacheField name="AMOUNT" numFmtId="0">
      <sharedItems containsString="0" containsBlank="1" containsNumber="1" containsInteger="1" minValue="30" maxValue="1800"/>
    </cacheField>
    <cacheField name="PAYMENT_MODE" numFmtId="0">
      <sharedItems containsBlank="1"/>
    </cacheField>
    <cacheField name="DAILY_EXPENSES" numFmtId="0">
      <sharedItems containsString="0" containsBlank="1" containsNumber="1" containsInteger="1" minValue="230" maxValue="20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d v="2026-01-01T00:00:00"/>
    <s v="Thursday"/>
    <x v="0"/>
    <x v="0"/>
    <s v="Lunch"/>
    <n v="85"/>
    <s v="UPI"/>
    <n v="255"/>
  </r>
  <r>
    <d v="2026-01-01T00:00:00"/>
    <s v="Thursday"/>
    <x v="0"/>
    <x v="0"/>
    <s v="Dinner"/>
    <n v="90"/>
    <s v="UPI"/>
    <n v="255"/>
  </r>
  <r>
    <d v="2026-01-01T00:00:00"/>
    <s v="Thursday"/>
    <x v="0"/>
    <x v="0"/>
    <s v="Snacks"/>
    <n v="40"/>
    <s v="Cash"/>
    <n v="255"/>
  </r>
  <r>
    <d v="2026-01-01T00:00:00"/>
    <s v="Thursday"/>
    <x v="0"/>
    <x v="1"/>
    <s v="Bus fare"/>
    <n v="40"/>
    <s v="Cash"/>
    <n v="255"/>
  </r>
  <r>
    <d v="2026-01-02T00:00:00"/>
    <s v="Friday"/>
    <x v="0"/>
    <x v="0"/>
    <s v="Lunch"/>
    <n v="80"/>
    <s v="UPI"/>
    <n v="250"/>
  </r>
  <r>
    <d v="2026-01-02T00:00:00"/>
    <s v="Friday"/>
    <x v="0"/>
    <x v="0"/>
    <s v="Dinner"/>
    <n v="95"/>
    <s v="UPI"/>
    <n v="250"/>
  </r>
  <r>
    <d v="2026-01-02T00:00:00"/>
    <s v="Friday"/>
    <x v="0"/>
    <x v="0"/>
    <s v="Snacks"/>
    <n v="35"/>
    <s v="Cash"/>
    <n v="250"/>
  </r>
  <r>
    <d v="2026-01-02T00:00:00"/>
    <s v="Friday"/>
    <x v="0"/>
    <x v="1"/>
    <s v="Bus fare"/>
    <n v="40"/>
    <s v="Cash"/>
    <n v="250"/>
  </r>
  <r>
    <d v="2026-01-03T00:00:00"/>
    <s v="Saturday"/>
    <x v="1"/>
    <x v="0"/>
    <s v="Lunch"/>
    <n v="90"/>
    <s v="UPI"/>
    <n v="530"/>
  </r>
  <r>
    <d v="2026-01-03T00:00:00"/>
    <s v="Saturday"/>
    <x v="1"/>
    <x v="0"/>
    <s v="Dinner"/>
    <n v="100"/>
    <s v="UPI"/>
    <n v="530"/>
  </r>
  <r>
    <d v="2026-01-03T00:00:00"/>
    <s v="Saturday"/>
    <x v="1"/>
    <x v="1"/>
    <s v="Auto fare"/>
    <n v="90"/>
    <s v="Cash"/>
    <n v="530"/>
  </r>
  <r>
    <d v="2026-01-03T00:00:00"/>
    <s v="Saturday"/>
    <x v="1"/>
    <x v="2"/>
    <s v="Movie ticket"/>
    <n v="250"/>
    <s v="UPI"/>
    <n v="530"/>
  </r>
  <r>
    <d v="2026-01-04T00:00:00"/>
    <s v="Sunday"/>
    <x v="1"/>
    <x v="0"/>
    <s v="Lunch"/>
    <n v="95"/>
    <s v="UPI"/>
    <n v="395"/>
  </r>
  <r>
    <d v="2026-01-04T00:00:00"/>
    <s v="Sunday"/>
    <x v="1"/>
    <x v="0"/>
    <s v="Dinner"/>
    <n v="100"/>
    <s v="UPI"/>
    <n v="395"/>
  </r>
  <r>
    <d v="2026-01-04T00:00:00"/>
    <s v="Sunday"/>
    <x v="1"/>
    <x v="1"/>
    <s v="Cab ride"/>
    <n v="200"/>
    <s v="UPI"/>
    <n v="395"/>
  </r>
  <r>
    <d v="2026-01-05T00:00:00"/>
    <s v="Monday"/>
    <x v="0"/>
    <x v="0"/>
    <s v="Lunch"/>
    <n v="75"/>
    <s v="UPI"/>
    <n v="680"/>
  </r>
  <r>
    <d v="2026-01-05T00:00:00"/>
    <s v="Monday"/>
    <x v="0"/>
    <x v="0"/>
    <s v="Dinner"/>
    <n v="85"/>
    <s v="UPI"/>
    <n v="680"/>
  </r>
  <r>
    <d v="2026-01-05T00:00:00"/>
    <s v="Monday"/>
    <x v="0"/>
    <x v="0"/>
    <s v="Snacks"/>
    <n v="30"/>
    <s v="Cash"/>
    <n v="680"/>
  </r>
  <r>
    <d v="2026-01-05T00:00:00"/>
    <s v="Monday"/>
    <x v="0"/>
    <x v="1"/>
    <s v="Bus fare"/>
    <n v="40"/>
    <s v="Cash"/>
    <n v="680"/>
  </r>
  <r>
    <d v="2026-01-05T00:00:00"/>
    <s v="Monday"/>
    <x v="0"/>
    <x v="3"/>
    <s v="Books purchase"/>
    <n v="450"/>
    <s v="UPI"/>
    <n v="680"/>
  </r>
  <r>
    <d v="2026-01-06T00:00:00"/>
    <s v="Tuesday"/>
    <x v="0"/>
    <x v="0"/>
    <s v="Lunch"/>
    <n v="80"/>
    <s v="UPI"/>
    <n v="245"/>
  </r>
  <r>
    <d v="2026-01-06T00:00:00"/>
    <s v="Tuesday"/>
    <x v="0"/>
    <x v="0"/>
    <s v="Dinner"/>
    <n v="90"/>
    <s v="UPI"/>
    <n v="245"/>
  </r>
  <r>
    <d v="2026-01-06T00:00:00"/>
    <s v="Tuesday"/>
    <x v="0"/>
    <x v="0"/>
    <s v="Snacks"/>
    <n v="35"/>
    <s v="Cash"/>
    <n v="245"/>
  </r>
  <r>
    <d v="2026-01-06T00:00:00"/>
    <s v="Tuesday"/>
    <x v="0"/>
    <x v="1"/>
    <s v="Bus fare"/>
    <n v="40"/>
    <s v="Cash"/>
    <n v="245"/>
  </r>
  <r>
    <d v="2026-01-07T00:00:00"/>
    <s v="Wednesday"/>
    <x v="0"/>
    <x v="0"/>
    <s v="Lunch"/>
    <n v="85"/>
    <s v="UPI"/>
    <n v="520"/>
  </r>
  <r>
    <d v="2026-01-07T00:00:00"/>
    <s v="Wednesday"/>
    <x v="0"/>
    <x v="0"/>
    <s v="Dinner"/>
    <n v="95"/>
    <s v="UPI"/>
    <n v="520"/>
  </r>
  <r>
    <d v="2026-01-07T00:00:00"/>
    <s v="Wednesday"/>
    <x v="0"/>
    <x v="0"/>
    <s v="Snacks"/>
    <n v="40"/>
    <s v="Cash"/>
    <n v="520"/>
  </r>
  <r>
    <d v="2026-01-07T00:00:00"/>
    <s v="Wednesday"/>
    <x v="0"/>
    <x v="1"/>
    <s v="Metro recharge"/>
    <n v="300"/>
    <s v="UPI"/>
    <n v="520"/>
  </r>
  <r>
    <d v="2026-01-08T00:00:00"/>
    <s v="Thursday"/>
    <x v="0"/>
    <x v="0"/>
    <s v="Lunch"/>
    <n v="90"/>
    <s v="UPI"/>
    <n v="275"/>
  </r>
  <r>
    <d v="2026-01-08T00:00:00"/>
    <s v="Thursday"/>
    <x v="0"/>
    <x v="0"/>
    <s v="Dinner"/>
    <n v="100"/>
    <s v="UPI"/>
    <n v="275"/>
  </r>
  <r>
    <d v="2026-01-08T00:00:00"/>
    <s v="Thursday"/>
    <x v="0"/>
    <x v="0"/>
    <s v="Snacks"/>
    <n v="45"/>
    <s v="Cash"/>
    <n v="275"/>
  </r>
  <r>
    <d v="2026-01-08T00:00:00"/>
    <s v="Thursday"/>
    <x v="0"/>
    <x v="1"/>
    <s v="Bus fare"/>
    <n v="40"/>
    <s v="Cash"/>
    <n v="275"/>
  </r>
  <r>
    <d v="2026-01-09T00:00:00"/>
    <s v="Friday"/>
    <x v="0"/>
    <x v="0"/>
    <s v="Lunch"/>
    <n v="80"/>
    <s v="UPI"/>
    <n v="1445"/>
  </r>
  <r>
    <d v="2026-01-09T00:00:00"/>
    <s v="Friday"/>
    <x v="0"/>
    <x v="0"/>
    <s v="Dinner"/>
    <n v="90"/>
    <s v="UPI"/>
    <n v="1445"/>
  </r>
  <r>
    <d v="2026-01-09T00:00:00"/>
    <s v="Friday"/>
    <x v="0"/>
    <x v="0"/>
    <s v="Snacks"/>
    <n v="35"/>
    <s v="Cash"/>
    <n v="1445"/>
  </r>
  <r>
    <d v="2026-01-09T00:00:00"/>
    <s v="Friday"/>
    <x v="0"/>
    <x v="1"/>
    <s v="Bus fare"/>
    <n v="40"/>
    <s v="Cash"/>
    <n v="1445"/>
  </r>
  <r>
    <d v="2026-01-09T00:00:00"/>
    <s v="Friday"/>
    <x v="0"/>
    <x v="4"/>
    <s v="Clothes purchase"/>
    <n v="1200"/>
    <s v="UPI"/>
    <n v="1445"/>
  </r>
  <r>
    <d v="2026-01-10T00:00:00"/>
    <s v="Saturday"/>
    <x v="1"/>
    <x v="0"/>
    <s v="Lunch"/>
    <n v="95"/>
    <s v="UPI"/>
    <n v="295"/>
  </r>
  <r>
    <d v="2026-01-10T00:00:00"/>
    <s v="Saturday"/>
    <x v="1"/>
    <x v="0"/>
    <s v="Dinner"/>
    <n v="100"/>
    <s v="UPI"/>
    <n v="295"/>
  </r>
  <r>
    <d v="2026-01-10T00:00:00"/>
    <s v="Saturday"/>
    <x v="1"/>
    <x v="1"/>
    <s v="Auto fare"/>
    <n v="100"/>
    <s v="Cash"/>
    <n v="295"/>
  </r>
  <r>
    <d v="2026-01-11T00:00:00"/>
    <s v="Sunday"/>
    <x v="1"/>
    <x v="0"/>
    <s v="Lunch"/>
    <n v="90"/>
    <s v="UPI"/>
    <n v="395"/>
  </r>
  <r>
    <d v="2026-01-11T00:00:00"/>
    <s v="Sunday"/>
    <x v="1"/>
    <x v="0"/>
    <s v="Dinner"/>
    <n v="95"/>
    <s v="UPI"/>
    <n v="395"/>
  </r>
  <r>
    <d v="2026-01-11T00:00:00"/>
    <s v="Sunday"/>
    <x v="1"/>
    <x v="1"/>
    <s v="Cab ride"/>
    <n v="210"/>
    <s v="UPI"/>
    <n v="395"/>
  </r>
  <r>
    <d v="2026-01-12T00:00:00"/>
    <s v="Monday"/>
    <x v="0"/>
    <x v="0"/>
    <s v="Lunch"/>
    <n v="75"/>
    <s v="UPI"/>
    <n v="230"/>
  </r>
  <r>
    <d v="2026-01-12T00:00:00"/>
    <s v="Monday"/>
    <x v="0"/>
    <x v="0"/>
    <s v="Dinner"/>
    <n v="85"/>
    <s v="UPI"/>
    <n v="230"/>
  </r>
  <r>
    <d v="2026-01-12T00:00:00"/>
    <s v="Monday"/>
    <x v="0"/>
    <x v="0"/>
    <s v="Snacks"/>
    <n v="30"/>
    <s v="Cash"/>
    <n v="230"/>
  </r>
  <r>
    <d v="2026-01-12T00:00:00"/>
    <s v="Monday"/>
    <x v="0"/>
    <x v="1"/>
    <s v="Bus fare"/>
    <n v="40"/>
    <s v="Cash"/>
    <n v="230"/>
  </r>
  <r>
    <d v="2026-01-13T00:00:00"/>
    <s v="Tuesday"/>
    <x v="0"/>
    <x v="0"/>
    <s v="Lunch"/>
    <n v="80"/>
    <s v="UPI"/>
    <n v="245"/>
  </r>
  <r>
    <d v="2026-01-13T00:00:00"/>
    <s v="Tuesday"/>
    <x v="0"/>
    <x v="0"/>
    <s v="Dinner"/>
    <n v="90"/>
    <s v="UPI"/>
    <n v="245"/>
  </r>
  <r>
    <d v="2026-01-13T00:00:00"/>
    <s v="Tuesday"/>
    <x v="0"/>
    <x v="0"/>
    <s v="Snacks"/>
    <n v="35"/>
    <s v="Cash"/>
    <n v="245"/>
  </r>
  <r>
    <d v="2026-01-13T00:00:00"/>
    <s v="Tuesday"/>
    <x v="0"/>
    <x v="1"/>
    <s v="Bus fare"/>
    <n v="40"/>
    <s v="Cash"/>
    <n v="245"/>
  </r>
  <r>
    <d v="2026-01-14T00:00:00"/>
    <s v="Wednesday"/>
    <x v="0"/>
    <x v="0"/>
    <s v="Lunch"/>
    <n v="85"/>
    <s v="UPI"/>
    <n v="520"/>
  </r>
  <r>
    <d v="2026-01-14T00:00:00"/>
    <s v="Wednesday"/>
    <x v="0"/>
    <x v="0"/>
    <s v="Dinner"/>
    <n v="95"/>
    <s v="UPI"/>
    <n v="520"/>
  </r>
  <r>
    <d v="2026-01-14T00:00:00"/>
    <s v="Wednesday"/>
    <x v="0"/>
    <x v="0"/>
    <s v="Snacks"/>
    <n v="40"/>
    <s v="Cash"/>
    <n v="520"/>
  </r>
  <r>
    <d v="2026-01-14T00:00:00"/>
    <s v="Wednesday"/>
    <x v="0"/>
    <x v="1"/>
    <s v="Metro recharge"/>
    <n v="300"/>
    <s v="UPI"/>
    <n v="520"/>
  </r>
  <r>
    <d v="2026-01-15T00:00:00"/>
    <s v="Thursday"/>
    <x v="0"/>
    <x v="0"/>
    <s v="Lunch"/>
    <n v="90"/>
    <s v="UPI"/>
    <n v="1274"/>
  </r>
  <r>
    <d v="2026-01-15T00:00:00"/>
    <s v="Thursday"/>
    <x v="0"/>
    <x v="0"/>
    <s v="Dinner"/>
    <n v="100"/>
    <s v="UPI"/>
    <n v="1274"/>
  </r>
  <r>
    <d v="2026-01-15T00:00:00"/>
    <s v="Thursday"/>
    <x v="0"/>
    <x v="0"/>
    <s v="Snacks"/>
    <n v="45"/>
    <s v="Cash"/>
    <n v="1274"/>
  </r>
  <r>
    <d v="2026-01-15T00:00:00"/>
    <s v="Thursday"/>
    <x v="0"/>
    <x v="1"/>
    <s v="Bus fare"/>
    <n v="40"/>
    <s v="Cash"/>
    <n v="1274"/>
  </r>
  <r>
    <d v="2026-01-15T00:00:00"/>
    <s v="Thursday"/>
    <x v="0"/>
    <x v="3"/>
    <s v="Online course fee"/>
    <n v="999"/>
    <s v="UPI"/>
    <n v="1274"/>
  </r>
  <r>
    <d v="2026-01-16T00:00:00"/>
    <s v="Friday"/>
    <x v="0"/>
    <x v="0"/>
    <s v="Lunch"/>
    <n v="80"/>
    <s v="UPI"/>
    <n v="245"/>
  </r>
  <r>
    <d v="2026-01-16T00:00:00"/>
    <s v="Friday"/>
    <x v="0"/>
    <x v="0"/>
    <s v="Dinner"/>
    <n v="90"/>
    <s v="UPI"/>
    <n v="245"/>
  </r>
  <r>
    <d v="2026-01-16T00:00:00"/>
    <s v="Friday"/>
    <x v="0"/>
    <x v="0"/>
    <s v="Snacks"/>
    <n v="35"/>
    <s v="Cash"/>
    <n v="245"/>
  </r>
  <r>
    <d v="2026-01-16T00:00:00"/>
    <s v="Friday"/>
    <x v="0"/>
    <x v="1"/>
    <s v="Bus fare"/>
    <n v="40"/>
    <s v="Cash"/>
    <n v="245"/>
  </r>
  <r>
    <d v="2026-01-17T00:00:00"/>
    <s v="Saturday"/>
    <x v="1"/>
    <x v="0"/>
    <s v="Lunch"/>
    <n v="95"/>
    <s v="UPI"/>
    <n v="595"/>
  </r>
  <r>
    <d v="2026-01-17T00:00:00"/>
    <s v="Saturday"/>
    <x v="1"/>
    <x v="0"/>
    <s v="Dinner"/>
    <n v="100"/>
    <s v="UPI"/>
    <n v="595"/>
  </r>
  <r>
    <d v="2026-01-17T00:00:00"/>
    <s v="Saturday"/>
    <x v="1"/>
    <x v="1"/>
    <s v="Auto fare"/>
    <n v="100"/>
    <s v="Cash"/>
    <n v="595"/>
  </r>
  <r>
    <d v="2026-01-17T00:00:00"/>
    <s v="Saturday"/>
    <x v="1"/>
    <x v="2"/>
    <s v="Movie night"/>
    <n v="300"/>
    <s v="UPI"/>
    <n v="595"/>
  </r>
  <r>
    <d v="2026-01-18T00:00:00"/>
    <s v="Sunday"/>
    <x v="1"/>
    <x v="0"/>
    <s v="Lunch"/>
    <n v="90"/>
    <s v="UPI"/>
    <n v="395"/>
  </r>
  <r>
    <d v="2026-01-18T00:00:00"/>
    <s v="Sunday"/>
    <x v="1"/>
    <x v="0"/>
    <s v="Dinner"/>
    <n v="95"/>
    <s v="UPI"/>
    <n v="395"/>
  </r>
  <r>
    <d v="2026-01-18T00:00:00"/>
    <s v="Sunday"/>
    <x v="1"/>
    <x v="1"/>
    <s v="Cab ride"/>
    <n v="210"/>
    <s v="UPI"/>
    <n v="395"/>
  </r>
  <r>
    <d v="2026-01-19T00:00:00"/>
    <s v="Monday"/>
    <x v="0"/>
    <x v="0"/>
    <s v="Lunch"/>
    <n v="75"/>
    <s v="UPI"/>
    <n v="230"/>
  </r>
  <r>
    <d v="2026-01-19T00:00:00"/>
    <s v="Monday"/>
    <x v="0"/>
    <x v="0"/>
    <s v="Dinner"/>
    <n v="85"/>
    <s v="UPI"/>
    <n v="230"/>
  </r>
  <r>
    <d v="2026-01-19T00:00:00"/>
    <s v="Monday"/>
    <x v="0"/>
    <x v="0"/>
    <s v="Snacks"/>
    <n v="30"/>
    <s v="Cash"/>
    <n v="230"/>
  </r>
  <r>
    <d v="2026-01-19T00:00:00"/>
    <s v="Monday"/>
    <x v="0"/>
    <x v="1"/>
    <s v="Bus fare"/>
    <n v="40"/>
    <s v="Cash"/>
    <n v="230"/>
  </r>
  <r>
    <d v="2026-01-20T00:00:00"/>
    <s v="Tuesday"/>
    <x v="0"/>
    <x v="0"/>
    <s v="Lunch"/>
    <n v="80"/>
    <s v="UPI"/>
    <n v="484"/>
  </r>
  <r>
    <d v="2026-01-20T00:00:00"/>
    <s v="Tuesday"/>
    <x v="0"/>
    <x v="0"/>
    <s v="Dinner"/>
    <n v="90"/>
    <s v="UPI"/>
    <n v="484"/>
  </r>
  <r>
    <d v="2026-01-20T00:00:00"/>
    <s v="Tuesday"/>
    <x v="0"/>
    <x v="0"/>
    <s v="Snacks"/>
    <n v="35"/>
    <s v="Cash"/>
    <n v="484"/>
  </r>
  <r>
    <d v="2026-01-20T00:00:00"/>
    <s v="Tuesday"/>
    <x v="0"/>
    <x v="1"/>
    <s v="Bus fare"/>
    <n v="40"/>
    <s v="Cash"/>
    <n v="484"/>
  </r>
  <r>
    <d v="2026-01-20T00:00:00"/>
    <s v="Tuesday"/>
    <x v="0"/>
    <x v="5"/>
    <s v="Mobile recharge"/>
    <n v="239"/>
    <s v="UPI"/>
    <n v="484"/>
  </r>
  <r>
    <d v="2026-01-21T00:00:00"/>
    <s v="Wednesday"/>
    <x v="0"/>
    <x v="0"/>
    <s v="Lunch"/>
    <n v="85"/>
    <s v="UPI"/>
    <n v="520"/>
  </r>
  <r>
    <d v="2026-01-21T00:00:00"/>
    <s v="Wednesday"/>
    <x v="0"/>
    <x v="0"/>
    <s v="Dinner"/>
    <n v="95"/>
    <s v="UPI"/>
    <n v="520"/>
  </r>
  <r>
    <d v="2026-01-21T00:00:00"/>
    <s v="Wednesday"/>
    <x v="0"/>
    <x v="0"/>
    <s v="Snacks"/>
    <n v="40"/>
    <s v="Cash"/>
    <n v="520"/>
  </r>
  <r>
    <d v="2026-01-21T00:00:00"/>
    <s v="Wednesday"/>
    <x v="0"/>
    <x v="1"/>
    <s v="Metro recharge"/>
    <n v="300"/>
    <s v="UPI"/>
    <n v="520"/>
  </r>
  <r>
    <d v="2026-01-22T00:00:00"/>
    <s v="Thursday"/>
    <x v="0"/>
    <x v="0"/>
    <s v="Lunch"/>
    <n v="90"/>
    <s v="UPI"/>
    <n v="275"/>
  </r>
  <r>
    <d v="2026-01-22T00:00:00"/>
    <s v="Thursday"/>
    <x v="0"/>
    <x v="0"/>
    <s v="Dinner"/>
    <n v="100"/>
    <s v="UPI"/>
    <n v="275"/>
  </r>
  <r>
    <d v="2026-01-22T00:00:00"/>
    <s v="Thursday"/>
    <x v="0"/>
    <x v="0"/>
    <s v="Snacks"/>
    <n v="45"/>
    <s v="Cash"/>
    <n v="275"/>
  </r>
  <r>
    <d v="2026-01-22T00:00:00"/>
    <s v="Thursday"/>
    <x v="0"/>
    <x v="1"/>
    <s v="Bus fare"/>
    <n v="40"/>
    <s v="Cash"/>
    <n v="275"/>
  </r>
  <r>
    <d v="2026-01-23T00:00:00"/>
    <s v="Friday"/>
    <x v="0"/>
    <x v="0"/>
    <s v="Lunch"/>
    <n v="80"/>
    <s v="UPI"/>
    <n v="245"/>
  </r>
  <r>
    <d v="2026-01-23T00:00:00"/>
    <s v="Friday"/>
    <x v="0"/>
    <x v="0"/>
    <s v="Dinner"/>
    <n v="90"/>
    <s v="UPI"/>
    <n v="245"/>
  </r>
  <r>
    <d v="2026-01-23T00:00:00"/>
    <s v="Friday"/>
    <x v="0"/>
    <x v="0"/>
    <s v="Snacks"/>
    <n v="35"/>
    <s v="Cash"/>
    <n v="245"/>
  </r>
  <r>
    <d v="2026-01-23T00:00:00"/>
    <s v="Friday"/>
    <x v="0"/>
    <x v="1"/>
    <s v="Bus fare"/>
    <n v="40"/>
    <s v="Cash"/>
    <n v="245"/>
  </r>
  <r>
    <d v="2026-01-24T00:00:00"/>
    <s v="Saturday"/>
    <x v="1"/>
    <x v="0"/>
    <s v="Lunch"/>
    <n v="95"/>
    <s v="UPI"/>
    <n v="2090"/>
  </r>
  <r>
    <d v="2026-01-24T00:00:00"/>
    <s v="Saturday"/>
    <x v="1"/>
    <x v="0"/>
    <s v="Dinner"/>
    <n v="100"/>
    <s v="UPI"/>
    <n v="2090"/>
  </r>
  <r>
    <d v="2026-01-24T00:00:00"/>
    <s v="Saturday"/>
    <x v="1"/>
    <x v="1"/>
    <s v="Auto fare"/>
    <n v="95"/>
    <s v="Cash"/>
    <n v="2090"/>
  </r>
  <r>
    <d v="2026-01-24T00:00:00"/>
    <s v="Saturday"/>
    <x v="1"/>
    <x v="4"/>
    <s v="Shoes purchase"/>
    <n v="1800"/>
    <s v="UPI"/>
    <n v="2090"/>
  </r>
  <r>
    <d v="2026-01-25T00:00:00"/>
    <s v="Sunday"/>
    <x v="1"/>
    <x v="0"/>
    <s v="Lunch"/>
    <n v="90"/>
    <s v="UPI"/>
    <n v="385"/>
  </r>
  <r>
    <d v="2026-01-25T00:00:00"/>
    <s v="Sunday"/>
    <x v="1"/>
    <x v="0"/>
    <s v="Dinner"/>
    <n v="95"/>
    <s v="UPI"/>
    <n v="385"/>
  </r>
  <r>
    <d v="2026-01-25T00:00:00"/>
    <s v="Sunday"/>
    <x v="1"/>
    <x v="1"/>
    <s v="Cab ride"/>
    <n v="200"/>
    <s v="UPI"/>
    <n v="385"/>
  </r>
  <r>
    <d v="2026-01-26T00:00:00"/>
    <s v="Monday"/>
    <x v="0"/>
    <x v="0"/>
    <s v="Lunch"/>
    <n v="75"/>
    <s v="UPI"/>
    <n v="230"/>
  </r>
  <r>
    <d v="2026-01-26T00:00:00"/>
    <s v="Monday"/>
    <x v="0"/>
    <x v="0"/>
    <s v="Dinner"/>
    <n v="85"/>
    <s v="UPI"/>
    <n v="230"/>
  </r>
  <r>
    <d v="2026-01-26T00:00:00"/>
    <s v="Monday"/>
    <x v="0"/>
    <x v="0"/>
    <s v="Snacks"/>
    <n v="30"/>
    <s v="Cash"/>
    <n v="230"/>
  </r>
  <r>
    <d v="2026-01-26T00:00:00"/>
    <s v="Monday"/>
    <x v="0"/>
    <x v="1"/>
    <s v="Bus fare"/>
    <n v="40"/>
    <s v="Cash"/>
    <n v="230"/>
  </r>
  <r>
    <d v="2026-01-27T00:00:00"/>
    <s v="Tuesday"/>
    <x v="0"/>
    <x v="0"/>
    <s v="Lunch"/>
    <n v="80"/>
    <s v="UPI"/>
    <n v="245"/>
  </r>
  <r>
    <d v="2026-01-27T00:00:00"/>
    <s v="Tuesday"/>
    <x v="0"/>
    <x v="0"/>
    <s v="Dinner"/>
    <n v="90"/>
    <s v="UPI"/>
    <n v="245"/>
  </r>
  <r>
    <d v="2026-01-27T00:00:00"/>
    <s v="Tuesday"/>
    <x v="0"/>
    <x v="0"/>
    <s v="Snacks"/>
    <n v="35"/>
    <s v="Cash"/>
    <n v="245"/>
  </r>
  <r>
    <d v="2026-01-27T00:00:00"/>
    <s v="Tuesday"/>
    <x v="0"/>
    <x v="1"/>
    <s v="Bus fare"/>
    <n v="40"/>
    <s v="Cash"/>
    <n v="245"/>
  </r>
  <r>
    <d v="2026-01-28T00:00:00"/>
    <s v="Wednesday"/>
    <x v="0"/>
    <x v="0"/>
    <s v="Lunch"/>
    <n v="85"/>
    <s v="UPI"/>
    <n v="520"/>
  </r>
  <r>
    <d v="2026-01-28T00:00:00"/>
    <s v="Wednesday"/>
    <x v="0"/>
    <x v="0"/>
    <s v="Dinner"/>
    <n v="95"/>
    <s v="UPI"/>
    <n v="520"/>
  </r>
  <r>
    <d v="2026-01-28T00:00:00"/>
    <s v="Wednesday"/>
    <x v="0"/>
    <x v="0"/>
    <s v="Snacks"/>
    <n v="40"/>
    <s v="Cash"/>
    <n v="520"/>
  </r>
  <r>
    <d v="2026-01-28T00:00:00"/>
    <s v="Wednesday"/>
    <x v="0"/>
    <x v="1"/>
    <s v="Metro recharge"/>
    <n v="300"/>
    <s v="UPI"/>
    <n v="520"/>
  </r>
  <r>
    <d v="2026-01-29T00:00:00"/>
    <s v="Thursday"/>
    <x v="0"/>
    <x v="0"/>
    <s v="Lunch"/>
    <n v="90"/>
    <s v="UPI"/>
    <n v="275"/>
  </r>
  <r>
    <d v="2026-01-29T00:00:00"/>
    <s v="Thursday"/>
    <x v="0"/>
    <x v="0"/>
    <s v="Dinner"/>
    <n v="100"/>
    <s v="UPI"/>
    <n v="275"/>
  </r>
  <r>
    <d v="2026-01-29T00:00:00"/>
    <s v="Thursday"/>
    <x v="0"/>
    <x v="0"/>
    <s v="Snacks"/>
    <n v="45"/>
    <s v="Cash"/>
    <n v="275"/>
  </r>
  <r>
    <d v="2026-01-29T00:00:00"/>
    <s v="Thursday"/>
    <x v="0"/>
    <x v="1"/>
    <s v="Bus fare"/>
    <n v="40"/>
    <s v="Cash"/>
    <n v="275"/>
  </r>
  <r>
    <d v="2026-01-30T00:00:00"/>
    <s v="Friday"/>
    <x v="0"/>
    <x v="0"/>
    <s v="Lunch"/>
    <n v="80"/>
    <s v="UPI"/>
    <n v="245"/>
  </r>
  <r>
    <d v="2026-01-30T00:00:00"/>
    <s v="Friday"/>
    <x v="0"/>
    <x v="0"/>
    <s v="Dinner"/>
    <n v="90"/>
    <s v="UPI"/>
    <n v="245"/>
  </r>
  <r>
    <d v="2026-01-30T00:00:00"/>
    <s v="Friday"/>
    <x v="0"/>
    <x v="0"/>
    <s v="Snacks"/>
    <n v="35"/>
    <s v="Cash"/>
    <n v="245"/>
  </r>
  <r>
    <d v="2026-01-30T00:00:00"/>
    <s v="Friday"/>
    <x v="0"/>
    <x v="1"/>
    <s v="Bus fare"/>
    <n v="40"/>
    <s v="Cash"/>
    <n v="245"/>
  </r>
  <r>
    <m/>
    <m/>
    <x v="2"/>
    <x v="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CE9F0-71F6-4816-ADA1-21A2AA6A904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D2:E5" firstHeaderRow="1" firstDataRow="1" firstDataCol="1"/>
  <pivotFields count="8">
    <pivotField compact="0" outline="0" showAll="0"/>
    <pivotField compact="0" outline="0" showAll="0"/>
    <pivotField axis="axisRow"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AMOUNT" fld="5" baseField="0" baseItem="0"/>
  </dataFields>
  <formats count="2">
    <format dxfId="2">
      <pivotArea outline="0" fieldPosition="0">
        <references count="1">
          <reference field="2" count="1" selected="0">
            <x v="0"/>
          </reference>
        </references>
      </pivotArea>
    </format>
    <format dxfId="1">
      <pivotArea outline="0" fieldPosition="0">
        <references count="1">
          <reference field="2" count="1" selected="0"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DD1B9-4A42-438D-95E0-B1D5C54A2D7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G2:H9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8">
        <item x="3"/>
        <item x="2"/>
        <item x="0"/>
        <item x="5"/>
        <item x="4"/>
        <item x="1"/>
        <item h="1" x="6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5" baseField="0" baseItem="0" numFmtId="44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D61AF-4CE1-464A-97FD-BD2C1AB3B36F}">
  <dimension ref="A1:H120"/>
  <sheetViews>
    <sheetView workbookViewId="0">
      <selection activeCell="H5" sqref="H5"/>
    </sheetView>
  </sheetViews>
  <sheetFormatPr defaultRowHeight="14.4" x14ac:dyDescent="0.3"/>
  <cols>
    <col min="1" max="1" width="10.33203125" style="1" bestFit="1" customWidth="1"/>
    <col min="4" max="4" width="15.88671875" customWidth="1"/>
    <col min="5" max="5" width="15" customWidth="1"/>
    <col min="6" max="6" width="10.88671875" customWidth="1"/>
    <col min="7" max="7" width="8" customWidth="1"/>
    <col min="8" max="8" width="15.6640625" bestFit="1" customWidth="1"/>
  </cols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45992</v>
      </c>
      <c r="B2" t="s">
        <v>8</v>
      </c>
      <c r="C2" t="s">
        <v>9</v>
      </c>
      <c r="D2" t="s">
        <v>10</v>
      </c>
      <c r="E2" t="s">
        <v>11</v>
      </c>
      <c r="F2">
        <v>85</v>
      </c>
      <c r="G2" t="s">
        <v>12</v>
      </c>
      <c r="H2">
        <f>SUMIF(data!A:A, A2, data!F:F)</f>
        <v>255</v>
      </c>
    </row>
    <row r="3" spans="1:8" x14ac:dyDescent="0.3">
      <c r="A3" s="1">
        <v>45992</v>
      </c>
      <c r="B3" t="s">
        <v>8</v>
      </c>
      <c r="C3" t="s">
        <v>9</v>
      </c>
      <c r="D3" t="s">
        <v>10</v>
      </c>
      <c r="E3" t="s">
        <v>13</v>
      </c>
      <c r="F3">
        <v>90</v>
      </c>
      <c r="G3" t="s">
        <v>12</v>
      </c>
      <c r="H3">
        <f>SUMIF(data!A:A, A3, data!F:F)</f>
        <v>255</v>
      </c>
    </row>
    <row r="4" spans="1:8" x14ac:dyDescent="0.3">
      <c r="A4" s="1">
        <v>45992</v>
      </c>
      <c r="B4" t="s">
        <v>8</v>
      </c>
      <c r="C4" t="s">
        <v>9</v>
      </c>
      <c r="D4" t="s">
        <v>10</v>
      </c>
      <c r="E4" t="s">
        <v>14</v>
      </c>
      <c r="F4">
        <v>40</v>
      </c>
      <c r="G4" t="s">
        <v>15</v>
      </c>
      <c r="H4">
        <f>SUMIF(data!A:A, A4, data!F:F)</f>
        <v>255</v>
      </c>
    </row>
    <row r="5" spans="1:8" x14ac:dyDescent="0.3">
      <c r="A5" s="1">
        <v>45992</v>
      </c>
      <c r="B5" t="s">
        <v>8</v>
      </c>
      <c r="C5" t="s">
        <v>9</v>
      </c>
      <c r="D5" t="s">
        <v>16</v>
      </c>
      <c r="E5" t="s">
        <v>17</v>
      </c>
      <c r="F5">
        <v>40</v>
      </c>
      <c r="G5" t="s">
        <v>15</v>
      </c>
      <c r="H5">
        <f>SUMIF(data!A:A, A5, data!F:F)</f>
        <v>255</v>
      </c>
    </row>
    <row r="6" spans="1:8" x14ac:dyDescent="0.3">
      <c r="A6" s="1">
        <v>45993</v>
      </c>
      <c r="B6" t="s">
        <v>18</v>
      </c>
      <c r="C6" t="s">
        <v>9</v>
      </c>
      <c r="D6" t="s">
        <v>10</v>
      </c>
      <c r="E6" t="s">
        <v>11</v>
      </c>
      <c r="F6">
        <v>80</v>
      </c>
      <c r="G6" t="s">
        <v>12</v>
      </c>
      <c r="H6">
        <f>SUMIF(data!A:A, A6, data!F:F)</f>
        <v>250</v>
      </c>
    </row>
    <row r="7" spans="1:8" x14ac:dyDescent="0.3">
      <c r="A7" s="1">
        <v>45993</v>
      </c>
      <c r="B7" t="s">
        <v>18</v>
      </c>
      <c r="C7" t="s">
        <v>9</v>
      </c>
      <c r="D7" t="s">
        <v>10</v>
      </c>
      <c r="E7" t="s">
        <v>13</v>
      </c>
      <c r="F7">
        <v>95</v>
      </c>
      <c r="G7" t="s">
        <v>12</v>
      </c>
      <c r="H7">
        <f>SUMIF(data!A:A, A7, data!F:F)</f>
        <v>250</v>
      </c>
    </row>
    <row r="8" spans="1:8" x14ac:dyDescent="0.3">
      <c r="A8" s="1">
        <v>45993</v>
      </c>
      <c r="B8" t="s">
        <v>18</v>
      </c>
      <c r="C8" t="s">
        <v>9</v>
      </c>
      <c r="D8" t="s">
        <v>10</v>
      </c>
      <c r="E8" t="s">
        <v>14</v>
      </c>
      <c r="F8">
        <v>35</v>
      </c>
      <c r="G8" t="s">
        <v>15</v>
      </c>
      <c r="H8">
        <f>SUMIF(data!A:A, A8, data!F:F)</f>
        <v>250</v>
      </c>
    </row>
    <row r="9" spans="1:8" x14ac:dyDescent="0.3">
      <c r="A9" s="1">
        <v>45993</v>
      </c>
      <c r="B9" t="s">
        <v>18</v>
      </c>
      <c r="C9" t="s">
        <v>9</v>
      </c>
      <c r="D9" t="s">
        <v>16</v>
      </c>
      <c r="E9" t="s">
        <v>17</v>
      </c>
      <c r="F9">
        <v>40</v>
      </c>
      <c r="G9" t="s">
        <v>15</v>
      </c>
      <c r="H9">
        <f>SUMIF(data!A:A, A9, data!F:F)</f>
        <v>250</v>
      </c>
    </row>
    <row r="10" spans="1:8" x14ac:dyDescent="0.3">
      <c r="A10" s="1">
        <v>45994</v>
      </c>
      <c r="B10" t="s">
        <v>19</v>
      </c>
      <c r="C10" t="s">
        <v>20</v>
      </c>
      <c r="D10" t="s">
        <v>10</v>
      </c>
      <c r="E10" t="s">
        <v>11</v>
      </c>
      <c r="F10">
        <v>90</v>
      </c>
      <c r="G10" t="s">
        <v>12</v>
      </c>
      <c r="H10">
        <f>SUMIF(data!A:A, A10, data!F:F)</f>
        <v>530</v>
      </c>
    </row>
    <row r="11" spans="1:8" x14ac:dyDescent="0.3">
      <c r="A11" s="1">
        <v>45994</v>
      </c>
      <c r="B11" t="s">
        <v>19</v>
      </c>
      <c r="C11" t="s">
        <v>20</v>
      </c>
      <c r="D11" t="s">
        <v>10</v>
      </c>
      <c r="E11" t="s">
        <v>13</v>
      </c>
      <c r="F11">
        <v>100</v>
      </c>
      <c r="G11" t="s">
        <v>12</v>
      </c>
      <c r="H11">
        <f>SUMIF(data!A:A, A11, data!F:F)</f>
        <v>530</v>
      </c>
    </row>
    <row r="12" spans="1:8" x14ac:dyDescent="0.3">
      <c r="A12" s="1">
        <v>45994</v>
      </c>
      <c r="B12" t="s">
        <v>19</v>
      </c>
      <c r="C12" t="s">
        <v>20</v>
      </c>
      <c r="D12" t="s">
        <v>16</v>
      </c>
      <c r="E12" t="s">
        <v>21</v>
      </c>
      <c r="F12">
        <v>90</v>
      </c>
      <c r="G12" t="s">
        <v>15</v>
      </c>
      <c r="H12">
        <f>SUMIF(data!A:A, A12, data!F:F)</f>
        <v>530</v>
      </c>
    </row>
    <row r="13" spans="1:8" x14ac:dyDescent="0.3">
      <c r="A13" s="1">
        <v>45994</v>
      </c>
      <c r="B13" t="s">
        <v>19</v>
      </c>
      <c r="C13" t="s">
        <v>20</v>
      </c>
      <c r="D13" t="s">
        <v>22</v>
      </c>
      <c r="E13" t="s">
        <v>23</v>
      </c>
      <c r="F13">
        <v>250</v>
      </c>
      <c r="G13" t="s">
        <v>12</v>
      </c>
      <c r="H13">
        <f>SUMIF(data!A:A, A13, data!F:F)</f>
        <v>530</v>
      </c>
    </row>
    <row r="14" spans="1:8" x14ac:dyDescent="0.3">
      <c r="A14" s="1">
        <v>45995</v>
      </c>
      <c r="B14" t="s">
        <v>24</v>
      </c>
      <c r="C14" t="s">
        <v>20</v>
      </c>
      <c r="D14" t="s">
        <v>10</v>
      </c>
      <c r="E14" t="s">
        <v>11</v>
      </c>
      <c r="F14">
        <v>95</v>
      </c>
      <c r="G14" t="s">
        <v>12</v>
      </c>
      <c r="H14">
        <f>SUMIF(data!A:A, A14, data!F:F)</f>
        <v>395</v>
      </c>
    </row>
    <row r="15" spans="1:8" x14ac:dyDescent="0.3">
      <c r="A15" s="1">
        <v>45995</v>
      </c>
      <c r="B15" t="s">
        <v>24</v>
      </c>
      <c r="C15" t="s">
        <v>20</v>
      </c>
      <c r="D15" t="s">
        <v>10</v>
      </c>
      <c r="E15" t="s">
        <v>13</v>
      </c>
      <c r="F15">
        <v>100</v>
      </c>
      <c r="G15" t="s">
        <v>12</v>
      </c>
      <c r="H15">
        <f>SUMIF(data!A:A, A15, data!F:F)</f>
        <v>395</v>
      </c>
    </row>
    <row r="16" spans="1:8" x14ac:dyDescent="0.3">
      <c r="A16" s="1">
        <v>45995</v>
      </c>
      <c r="B16" t="s">
        <v>24</v>
      </c>
      <c r="C16" t="s">
        <v>20</v>
      </c>
      <c r="D16" t="s">
        <v>16</v>
      </c>
      <c r="E16" t="s">
        <v>25</v>
      </c>
      <c r="F16">
        <v>200</v>
      </c>
      <c r="G16" t="s">
        <v>12</v>
      </c>
      <c r="H16">
        <f>SUMIF(data!A:A, A16, data!F:F)</f>
        <v>395</v>
      </c>
    </row>
    <row r="17" spans="1:8" x14ac:dyDescent="0.3">
      <c r="A17" s="1">
        <v>45996</v>
      </c>
      <c r="B17" t="s">
        <v>26</v>
      </c>
      <c r="C17" t="s">
        <v>9</v>
      </c>
      <c r="D17" t="s">
        <v>10</v>
      </c>
      <c r="E17" t="s">
        <v>11</v>
      </c>
      <c r="F17">
        <v>75</v>
      </c>
      <c r="G17" t="s">
        <v>12</v>
      </c>
      <c r="H17">
        <f>SUMIF(data!A:A, A17, data!F:F)</f>
        <v>680</v>
      </c>
    </row>
    <row r="18" spans="1:8" x14ac:dyDescent="0.3">
      <c r="A18" s="1">
        <v>45996</v>
      </c>
      <c r="B18" t="s">
        <v>26</v>
      </c>
      <c r="C18" t="s">
        <v>9</v>
      </c>
      <c r="D18" t="s">
        <v>10</v>
      </c>
      <c r="E18" t="s">
        <v>13</v>
      </c>
      <c r="F18">
        <v>85</v>
      </c>
      <c r="G18" t="s">
        <v>12</v>
      </c>
      <c r="H18">
        <f>SUMIF(data!A:A, A18, data!F:F)</f>
        <v>680</v>
      </c>
    </row>
    <row r="19" spans="1:8" x14ac:dyDescent="0.3">
      <c r="A19" s="1">
        <v>45996</v>
      </c>
      <c r="B19" t="s">
        <v>26</v>
      </c>
      <c r="C19" t="s">
        <v>9</v>
      </c>
      <c r="D19" t="s">
        <v>10</v>
      </c>
      <c r="E19" t="s">
        <v>14</v>
      </c>
      <c r="F19">
        <v>30</v>
      </c>
      <c r="G19" t="s">
        <v>15</v>
      </c>
      <c r="H19">
        <f>SUMIF(data!A:A, A19, data!F:F)</f>
        <v>680</v>
      </c>
    </row>
    <row r="20" spans="1:8" x14ac:dyDescent="0.3">
      <c r="A20" s="1">
        <v>45996</v>
      </c>
      <c r="B20" t="s">
        <v>26</v>
      </c>
      <c r="C20" t="s">
        <v>9</v>
      </c>
      <c r="D20" t="s">
        <v>16</v>
      </c>
      <c r="E20" t="s">
        <v>17</v>
      </c>
      <c r="F20">
        <v>40</v>
      </c>
      <c r="G20" t="s">
        <v>15</v>
      </c>
      <c r="H20">
        <f>SUMIF(data!A:A, A20, data!F:F)</f>
        <v>680</v>
      </c>
    </row>
    <row r="21" spans="1:8" x14ac:dyDescent="0.3">
      <c r="A21" s="1">
        <v>45996</v>
      </c>
      <c r="B21" t="s">
        <v>26</v>
      </c>
      <c r="C21" t="s">
        <v>9</v>
      </c>
      <c r="D21" t="s">
        <v>27</v>
      </c>
      <c r="E21" t="s">
        <v>28</v>
      </c>
      <c r="F21">
        <v>450</v>
      </c>
      <c r="G21" t="s">
        <v>12</v>
      </c>
      <c r="H21">
        <f>SUMIF(data!A:A, A21, data!F:F)</f>
        <v>680</v>
      </c>
    </row>
    <row r="22" spans="1:8" x14ac:dyDescent="0.3">
      <c r="A22" s="1">
        <v>45997</v>
      </c>
      <c r="B22" t="s">
        <v>29</v>
      </c>
      <c r="C22" t="s">
        <v>9</v>
      </c>
      <c r="D22" t="s">
        <v>10</v>
      </c>
      <c r="E22" t="s">
        <v>11</v>
      </c>
      <c r="F22">
        <v>80</v>
      </c>
      <c r="G22" t="s">
        <v>12</v>
      </c>
      <c r="H22">
        <f>SUMIF(data!A:A, A22, data!F:F)</f>
        <v>245</v>
      </c>
    </row>
    <row r="23" spans="1:8" x14ac:dyDescent="0.3">
      <c r="A23" s="1">
        <v>45997</v>
      </c>
      <c r="B23" t="s">
        <v>29</v>
      </c>
      <c r="C23" t="s">
        <v>9</v>
      </c>
      <c r="D23" t="s">
        <v>10</v>
      </c>
      <c r="E23" t="s">
        <v>13</v>
      </c>
      <c r="F23">
        <v>90</v>
      </c>
      <c r="G23" t="s">
        <v>12</v>
      </c>
      <c r="H23">
        <f>SUMIF(data!A:A, A23, data!F:F)</f>
        <v>245</v>
      </c>
    </row>
    <row r="24" spans="1:8" x14ac:dyDescent="0.3">
      <c r="A24" s="1">
        <v>45997</v>
      </c>
      <c r="B24" t="s">
        <v>29</v>
      </c>
      <c r="C24" t="s">
        <v>9</v>
      </c>
      <c r="D24" t="s">
        <v>10</v>
      </c>
      <c r="E24" t="s">
        <v>14</v>
      </c>
      <c r="F24">
        <v>35</v>
      </c>
      <c r="G24" t="s">
        <v>15</v>
      </c>
      <c r="H24">
        <f>SUMIF(data!A:A, A24, data!F:F)</f>
        <v>245</v>
      </c>
    </row>
    <row r="25" spans="1:8" x14ac:dyDescent="0.3">
      <c r="A25" s="1">
        <v>45997</v>
      </c>
      <c r="B25" t="s">
        <v>29</v>
      </c>
      <c r="C25" t="s">
        <v>9</v>
      </c>
      <c r="D25" t="s">
        <v>16</v>
      </c>
      <c r="E25" t="s">
        <v>17</v>
      </c>
      <c r="F25">
        <v>40</v>
      </c>
      <c r="G25" t="s">
        <v>15</v>
      </c>
      <c r="H25">
        <f>SUMIF(data!A:A, A25, data!F:F)</f>
        <v>245</v>
      </c>
    </row>
    <row r="26" spans="1:8" x14ac:dyDescent="0.3">
      <c r="A26" s="1">
        <v>45998</v>
      </c>
      <c r="B26" t="s">
        <v>30</v>
      </c>
      <c r="C26" t="s">
        <v>9</v>
      </c>
      <c r="D26" t="s">
        <v>10</v>
      </c>
      <c r="E26" t="s">
        <v>11</v>
      </c>
      <c r="F26">
        <v>85</v>
      </c>
      <c r="G26" t="s">
        <v>12</v>
      </c>
      <c r="H26">
        <f>SUMIF(data!A:A, A26, data!F:F)</f>
        <v>520</v>
      </c>
    </row>
    <row r="27" spans="1:8" x14ac:dyDescent="0.3">
      <c r="A27" s="1">
        <v>45998</v>
      </c>
      <c r="B27" t="s">
        <v>30</v>
      </c>
      <c r="C27" t="s">
        <v>9</v>
      </c>
      <c r="D27" t="s">
        <v>10</v>
      </c>
      <c r="E27" t="s">
        <v>13</v>
      </c>
      <c r="F27">
        <v>95</v>
      </c>
      <c r="G27" t="s">
        <v>12</v>
      </c>
      <c r="H27">
        <f>SUMIF(data!A:A, A27, data!F:F)</f>
        <v>520</v>
      </c>
    </row>
    <row r="28" spans="1:8" x14ac:dyDescent="0.3">
      <c r="A28" s="1">
        <v>45998</v>
      </c>
      <c r="B28" t="s">
        <v>30</v>
      </c>
      <c r="C28" t="s">
        <v>9</v>
      </c>
      <c r="D28" t="s">
        <v>10</v>
      </c>
      <c r="E28" t="s">
        <v>14</v>
      </c>
      <c r="F28">
        <v>40</v>
      </c>
      <c r="G28" t="s">
        <v>15</v>
      </c>
      <c r="H28">
        <f>SUMIF(data!A:A, A28, data!F:F)</f>
        <v>520</v>
      </c>
    </row>
    <row r="29" spans="1:8" x14ac:dyDescent="0.3">
      <c r="A29" s="1">
        <v>45998</v>
      </c>
      <c r="B29" t="s">
        <v>30</v>
      </c>
      <c r="C29" t="s">
        <v>9</v>
      </c>
      <c r="D29" t="s">
        <v>16</v>
      </c>
      <c r="E29" t="s">
        <v>31</v>
      </c>
      <c r="F29">
        <v>300</v>
      </c>
      <c r="G29" t="s">
        <v>12</v>
      </c>
      <c r="H29">
        <f>SUMIF(data!A:A, A29, data!F:F)</f>
        <v>520</v>
      </c>
    </row>
    <row r="30" spans="1:8" x14ac:dyDescent="0.3">
      <c r="A30" s="1">
        <v>45999</v>
      </c>
      <c r="B30" t="s">
        <v>8</v>
      </c>
      <c r="C30" t="s">
        <v>9</v>
      </c>
      <c r="D30" t="s">
        <v>10</v>
      </c>
      <c r="E30" t="s">
        <v>11</v>
      </c>
      <c r="F30">
        <v>90</v>
      </c>
      <c r="G30" t="s">
        <v>12</v>
      </c>
      <c r="H30">
        <f>SUMIF(data!A:A, A30, data!F:F)</f>
        <v>275</v>
      </c>
    </row>
    <row r="31" spans="1:8" x14ac:dyDescent="0.3">
      <c r="A31" s="1">
        <v>45999</v>
      </c>
      <c r="B31" t="s">
        <v>8</v>
      </c>
      <c r="C31" t="s">
        <v>9</v>
      </c>
      <c r="D31" t="s">
        <v>10</v>
      </c>
      <c r="E31" t="s">
        <v>13</v>
      </c>
      <c r="F31">
        <v>100</v>
      </c>
      <c r="G31" t="s">
        <v>12</v>
      </c>
      <c r="H31">
        <f>SUMIF(data!A:A, A31, data!F:F)</f>
        <v>275</v>
      </c>
    </row>
    <row r="32" spans="1:8" x14ac:dyDescent="0.3">
      <c r="A32" s="1">
        <v>45999</v>
      </c>
      <c r="B32" t="s">
        <v>8</v>
      </c>
      <c r="C32" t="s">
        <v>9</v>
      </c>
      <c r="D32" t="s">
        <v>10</v>
      </c>
      <c r="E32" t="s">
        <v>14</v>
      </c>
      <c r="F32">
        <v>45</v>
      </c>
      <c r="G32" t="s">
        <v>15</v>
      </c>
      <c r="H32">
        <f>SUMIF(data!A:A, A32, data!F:F)</f>
        <v>275</v>
      </c>
    </row>
    <row r="33" spans="1:8" x14ac:dyDescent="0.3">
      <c r="A33" s="1">
        <v>45999</v>
      </c>
      <c r="B33" t="s">
        <v>8</v>
      </c>
      <c r="C33" t="s">
        <v>9</v>
      </c>
      <c r="D33" t="s">
        <v>16</v>
      </c>
      <c r="E33" t="s">
        <v>17</v>
      </c>
      <c r="F33">
        <v>40</v>
      </c>
      <c r="G33" t="s">
        <v>15</v>
      </c>
      <c r="H33">
        <f>SUMIF(data!A:A, A33, data!F:F)</f>
        <v>275</v>
      </c>
    </row>
    <row r="34" spans="1:8" x14ac:dyDescent="0.3">
      <c r="A34" s="1">
        <v>46000</v>
      </c>
      <c r="B34" t="s">
        <v>18</v>
      </c>
      <c r="C34" t="s">
        <v>9</v>
      </c>
      <c r="D34" t="s">
        <v>10</v>
      </c>
      <c r="E34" t="s">
        <v>11</v>
      </c>
      <c r="F34">
        <v>80</v>
      </c>
      <c r="G34" t="s">
        <v>12</v>
      </c>
      <c r="H34">
        <f>SUMIF(data!A:A, A34, data!F:F)</f>
        <v>1445</v>
      </c>
    </row>
    <row r="35" spans="1:8" x14ac:dyDescent="0.3">
      <c r="A35" s="1">
        <v>46000</v>
      </c>
      <c r="B35" t="s">
        <v>18</v>
      </c>
      <c r="C35" t="s">
        <v>9</v>
      </c>
      <c r="D35" t="s">
        <v>10</v>
      </c>
      <c r="E35" t="s">
        <v>13</v>
      </c>
      <c r="F35">
        <v>90</v>
      </c>
      <c r="G35" t="s">
        <v>12</v>
      </c>
      <c r="H35">
        <f>SUMIF(data!A:A, A35, data!F:F)</f>
        <v>1445</v>
      </c>
    </row>
    <row r="36" spans="1:8" x14ac:dyDescent="0.3">
      <c r="A36" s="1">
        <v>46000</v>
      </c>
      <c r="B36" t="s">
        <v>18</v>
      </c>
      <c r="C36" t="s">
        <v>9</v>
      </c>
      <c r="D36" t="s">
        <v>10</v>
      </c>
      <c r="E36" t="s">
        <v>14</v>
      </c>
      <c r="F36">
        <v>35</v>
      </c>
      <c r="G36" t="s">
        <v>15</v>
      </c>
      <c r="H36">
        <f>SUMIF(data!A:A, A36, data!F:F)</f>
        <v>1445</v>
      </c>
    </row>
    <row r="37" spans="1:8" x14ac:dyDescent="0.3">
      <c r="A37" s="1">
        <v>46000</v>
      </c>
      <c r="B37" t="s">
        <v>18</v>
      </c>
      <c r="C37" t="s">
        <v>9</v>
      </c>
      <c r="D37" t="s">
        <v>16</v>
      </c>
      <c r="E37" t="s">
        <v>17</v>
      </c>
      <c r="F37">
        <v>40</v>
      </c>
      <c r="G37" t="s">
        <v>15</v>
      </c>
      <c r="H37">
        <f>SUMIF(data!A:A, A37, data!F:F)</f>
        <v>1445</v>
      </c>
    </row>
    <row r="38" spans="1:8" x14ac:dyDescent="0.3">
      <c r="A38" s="1">
        <v>46000</v>
      </c>
      <c r="B38" t="s">
        <v>18</v>
      </c>
      <c r="C38" t="s">
        <v>9</v>
      </c>
      <c r="D38" t="s">
        <v>32</v>
      </c>
      <c r="E38" t="s">
        <v>33</v>
      </c>
      <c r="F38">
        <v>1200</v>
      </c>
      <c r="G38" t="s">
        <v>12</v>
      </c>
      <c r="H38">
        <f>SUMIF(data!A:A, A38, data!F:F)</f>
        <v>1445</v>
      </c>
    </row>
    <row r="39" spans="1:8" x14ac:dyDescent="0.3">
      <c r="A39" s="1">
        <v>46001</v>
      </c>
      <c r="B39" t="s">
        <v>19</v>
      </c>
      <c r="C39" t="s">
        <v>20</v>
      </c>
      <c r="D39" t="s">
        <v>10</v>
      </c>
      <c r="E39" t="s">
        <v>11</v>
      </c>
      <c r="F39">
        <v>95</v>
      </c>
      <c r="G39" t="s">
        <v>12</v>
      </c>
      <c r="H39">
        <f>SUMIF(data!A:A, A39, data!F:F)</f>
        <v>295</v>
      </c>
    </row>
    <row r="40" spans="1:8" x14ac:dyDescent="0.3">
      <c r="A40" s="1">
        <v>46001</v>
      </c>
      <c r="B40" t="s">
        <v>19</v>
      </c>
      <c r="C40" t="s">
        <v>20</v>
      </c>
      <c r="D40" t="s">
        <v>10</v>
      </c>
      <c r="E40" t="s">
        <v>13</v>
      </c>
      <c r="F40">
        <v>100</v>
      </c>
      <c r="G40" t="s">
        <v>12</v>
      </c>
      <c r="H40">
        <f>SUMIF(data!A:A, A40, data!F:F)</f>
        <v>295</v>
      </c>
    </row>
    <row r="41" spans="1:8" x14ac:dyDescent="0.3">
      <c r="A41" s="1">
        <v>46001</v>
      </c>
      <c r="B41" t="s">
        <v>19</v>
      </c>
      <c r="C41" t="s">
        <v>20</v>
      </c>
      <c r="D41" t="s">
        <v>16</v>
      </c>
      <c r="E41" t="s">
        <v>21</v>
      </c>
      <c r="F41">
        <v>100</v>
      </c>
      <c r="G41" t="s">
        <v>15</v>
      </c>
      <c r="H41">
        <f>SUMIF(data!A:A, A41, data!F:F)</f>
        <v>295</v>
      </c>
    </row>
    <row r="42" spans="1:8" x14ac:dyDescent="0.3">
      <c r="A42" s="1">
        <v>46002</v>
      </c>
      <c r="B42" t="s">
        <v>24</v>
      </c>
      <c r="C42" t="s">
        <v>20</v>
      </c>
      <c r="D42" t="s">
        <v>10</v>
      </c>
      <c r="E42" t="s">
        <v>11</v>
      </c>
      <c r="F42">
        <v>90</v>
      </c>
      <c r="G42" t="s">
        <v>12</v>
      </c>
      <c r="H42">
        <f>SUMIF(data!A:A, A42, data!F:F)</f>
        <v>395</v>
      </c>
    </row>
    <row r="43" spans="1:8" x14ac:dyDescent="0.3">
      <c r="A43" s="1">
        <v>46002</v>
      </c>
      <c r="B43" t="s">
        <v>24</v>
      </c>
      <c r="C43" t="s">
        <v>20</v>
      </c>
      <c r="D43" t="s">
        <v>10</v>
      </c>
      <c r="E43" t="s">
        <v>13</v>
      </c>
      <c r="F43">
        <v>95</v>
      </c>
      <c r="G43" t="s">
        <v>12</v>
      </c>
      <c r="H43">
        <f>SUMIF(data!A:A, A43, data!F:F)</f>
        <v>395</v>
      </c>
    </row>
    <row r="44" spans="1:8" x14ac:dyDescent="0.3">
      <c r="A44" s="1">
        <v>46002</v>
      </c>
      <c r="B44" t="s">
        <v>24</v>
      </c>
      <c r="C44" t="s">
        <v>20</v>
      </c>
      <c r="D44" t="s">
        <v>16</v>
      </c>
      <c r="E44" t="s">
        <v>25</v>
      </c>
      <c r="F44">
        <v>210</v>
      </c>
      <c r="G44" t="s">
        <v>12</v>
      </c>
      <c r="H44">
        <f>SUMIF(data!A:A, A44, data!F:F)</f>
        <v>395</v>
      </c>
    </row>
    <row r="45" spans="1:8" x14ac:dyDescent="0.3">
      <c r="A45" s="1">
        <v>46003</v>
      </c>
      <c r="B45" t="s">
        <v>26</v>
      </c>
      <c r="C45" t="s">
        <v>9</v>
      </c>
      <c r="D45" t="s">
        <v>10</v>
      </c>
      <c r="E45" t="s">
        <v>11</v>
      </c>
      <c r="F45">
        <v>75</v>
      </c>
      <c r="G45" t="s">
        <v>12</v>
      </c>
      <c r="H45">
        <f>SUMIF(data!A:A, A45, data!F:F)</f>
        <v>230</v>
      </c>
    </row>
    <row r="46" spans="1:8" x14ac:dyDescent="0.3">
      <c r="A46" s="1">
        <v>46003</v>
      </c>
      <c r="B46" t="s">
        <v>26</v>
      </c>
      <c r="C46" t="s">
        <v>9</v>
      </c>
      <c r="D46" t="s">
        <v>10</v>
      </c>
      <c r="E46" t="s">
        <v>13</v>
      </c>
      <c r="F46">
        <v>85</v>
      </c>
      <c r="G46" t="s">
        <v>12</v>
      </c>
      <c r="H46">
        <f>SUMIF(data!A:A, A46, data!F:F)</f>
        <v>230</v>
      </c>
    </row>
    <row r="47" spans="1:8" x14ac:dyDescent="0.3">
      <c r="A47" s="1">
        <v>46003</v>
      </c>
      <c r="B47" t="s">
        <v>26</v>
      </c>
      <c r="C47" t="s">
        <v>9</v>
      </c>
      <c r="D47" t="s">
        <v>10</v>
      </c>
      <c r="E47" t="s">
        <v>14</v>
      </c>
      <c r="F47">
        <v>30</v>
      </c>
      <c r="G47" t="s">
        <v>15</v>
      </c>
      <c r="H47">
        <f>SUMIF(data!A:A, A47, data!F:F)</f>
        <v>230</v>
      </c>
    </row>
    <row r="48" spans="1:8" x14ac:dyDescent="0.3">
      <c r="A48" s="1">
        <v>46003</v>
      </c>
      <c r="B48" t="s">
        <v>26</v>
      </c>
      <c r="C48" t="s">
        <v>9</v>
      </c>
      <c r="D48" t="s">
        <v>16</v>
      </c>
      <c r="E48" t="s">
        <v>17</v>
      </c>
      <c r="F48">
        <v>40</v>
      </c>
      <c r="G48" t="s">
        <v>15</v>
      </c>
      <c r="H48">
        <f>SUMIF(data!A:A, A48, data!F:F)</f>
        <v>230</v>
      </c>
    </row>
    <row r="49" spans="1:8" x14ac:dyDescent="0.3">
      <c r="A49" s="1">
        <v>46004</v>
      </c>
      <c r="B49" t="s">
        <v>29</v>
      </c>
      <c r="C49" t="s">
        <v>9</v>
      </c>
      <c r="D49" t="s">
        <v>10</v>
      </c>
      <c r="E49" t="s">
        <v>11</v>
      </c>
      <c r="F49">
        <v>80</v>
      </c>
      <c r="G49" t="s">
        <v>12</v>
      </c>
      <c r="H49">
        <f>SUMIF(data!A:A, A49, data!F:F)</f>
        <v>245</v>
      </c>
    </row>
    <row r="50" spans="1:8" x14ac:dyDescent="0.3">
      <c r="A50" s="1">
        <v>46004</v>
      </c>
      <c r="B50" t="s">
        <v>29</v>
      </c>
      <c r="C50" t="s">
        <v>9</v>
      </c>
      <c r="D50" t="s">
        <v>10</v>
      </c>
      <c r="E50" t="s">
        <v>13</v>
      </c>
      <c r="F50">
        <v>90</v>
      </c>
      <c r="G50" t="s">
        <v>12</v>
      </c>
      <c r="H50">
        <f>SUMIF(data!A:A, A50, data!F:F)</f>
        <v>245</v>
      </c>
    </row>
    <row r="51" spans="1:8" x14ac:dyDescent="0.3">
      <c r="A51" s="1">
        <v>46004</v>
      </c>
      <c r="B51" t="s">
        <v>29</v>
      </c>
      <c r="C51" t="s">
        <v>9</v>
      </c>
      <c r="D51" t="s">
        <v>10</v>
      </c>
      <c r="E51" t="s">
        <v>14</v>
      </c>
      <c r="F51">
        <v>35</v>
      </c>
      <c r="G51" t="s">
        <v>15</v>
      </c>
      <c r="H51">
        <f>SUMIF(data!A:A, A51, data!F:F)</f>
        <v>245</v>
      </c>
    </row>
    <row r="52" spans="1:8" x14ac:dyDescent="0.3">
      <c r="A52" s="1">
        <v>46004</v>
      </c>
      <c r="B52" t="s">
        <v>29</v>
      </c>
      <c r="C52" t="s">
        <v>9</v>
      </c>
      <c r="D52" t="s">
        <v>16</v>
      </c>
      <c r="E52" t="s">
        <v>17</v>
      </c>
      <c r="F52">
        <v>40</v>
      </c>
      <c r="G52" t="s">
        <v>15</v>
      </c>
      <c r="H52">
        <f>SUMIF(data!A:A, A52, data!F:F)</f>
        <v>245</v>
      </c>
    </row>
    <row r="53" spans="1:8" x14ac:dyDescent="0.3">
      <c r="A53" s="1">
        <v>46005</v>
      </c>
      <c r="B53" t="s">
        <v>30</v>
      </c>
      <c r="C53" t="s">
        <v>9</v>
      </c>
      <c r="D53" t="s">
        <v>10</v>
      </c>
      <c r="E53" t="s">
        <v>11</v>
      </c>
      <c r="F53">
        <v>85</v>
      </c>
      <c r="G53" t="s">
        <v>12</v>
      </c>
      <c r="H53">
        <f>SUMIF(data!A:A, A53, data!F:F)</f>
        <v>520</v>
      </c>
    </row>
    <row r="54" spans="1:8" x14ac:dyDescent="0.3">
      <c r="A54" s="1">
        <v>46005</v>
      </c>
      <c r="B54" t="s">
        <v>30</v>
      </c>
      <c r="C54" t="s">
        <v>9</v>
      </c>
      <c r="D54" t="s">
        <v>10</v>
      </c>
      <c r="E54" t="s">
        <v>13</v>
      </c>
      <c r="F54">
        <v>95</v>
      </c>
      <c r="G54" t="s">
        <v>12</v>
      </c>
      <c r="H54">
        <f>SUMIF(data!A:A, A54, data!F:F)</f>
        <v>520</v>
      </c>
    </row>
    <row r="55" spans="1:8" x14ac:dyDescent="0.3">
      <c r="A55" s="1">
        <v>46005</v>
      </c>
      <c r="B55" t="s">
        <v>30</v>
      </c>
      <c r="C55" t="s">
        <v>9</v>
      </c>
      <c r="D55" t="s">
        <v>10</v>
      </c>
      <c r="E55" t="s">
        <v>14</v>
      </c>
      <c r="F55">
        <v>40</v>
      </c>
      <c r="G55" t="s">
        <v>15</v>
      </c>
      <c r="H55">
        <f>SUMIF(data!A:A, A55, data!F:F)</f>
        <v>520</v>
      </c>
    </row>
    <row r="56" spans="1:8" x14ac:dyDescent="0.3">
      <c r="A56" s="1">
        <v>46005</v>
      </c>
      <c r="B56" t="s">
        <v>30</v>
      </c>
      <c r="C56" t="s">
        <v>9</v>
      </c>
      <c r="D56" t="s">
        <v>16</v>
      </c>
      <c r="E56" t="s">
        <v>31</v>
      </c>
      <c r="F56">
        <v>300</v>
      </c>
      <c r="G56" t="s">
        <v>12</v>
      </c>
      <c r="H56">
        <f>SUMIF(data!A:A, A56, data!F:F)</f>
        <v>520</v>
      </c>
    </row>
    <row r="57" spans="1:8" x14ac:dyDescent="0.3">
      <c r="A57" s="1">
        <v>46006</v>
      </c>
      <c r="B57" t="s">
        <v>8</v>
      </c>
      <c r="C57" t="s">
        <v>9</v>
      </c>
      <c r="D57" t="s">
        <v>10</v>
      </c>
      <c r="E57" t="s">
        <v>11</v>
      </c>
      <c r="F57">
        <v>90</v>
      </c>
      <c r="G57" t="s">
        <v>12</v>
      </c>
      <c r="H57">
        <f>SUMIF(data!A:A, A57, data!F:F)</f>
        <v>1274</v>
      </c>
    </row>
    <row r="58" spans="1:8" x14ac:dyDescent="0.3">
      <c r="A58" s="1">
        <v>46006</v>
      </c>
      <c r="B58" t="s">
        <v>8</v>
      </c>
      <c r="C58" t="s">
        <v>9</v>
      </c>
      <c r="D58" t="s">
        <v>10</v>
      </c>
      <c r="E58" t="s">
        <v>13</v>
      </c>
      <c r="F58">
        <v>100</v>
      </c>
      <c r="G58" t="s">
        <v>12</v>
      </c>
      <c r="H58">
        <f>SUMIF(data!A:A, A58, data!F:F)</f>
        <v>1274</v>
      </c>
    </row>
    <row r="59" spans="1:8" x14ac:dyDescent="0.3">
      <c r="A59" s="1">
        <v>46006</v>
      </c>
      <c r="B59" t="s">
        <v>8</v>
      </c>
      <c r="C59" t="s">
        <v>9</v>
      </c>
      <c r="D59" t="s">
        <v>10</v>
      </c>
      <c r="E59" t="s">
        <v>14</v>
      </c>
      <c r="F59">
        <v>45</v>
      </c>
      <c r="G59" t="s">
        <v>15</v>
      </c>
      <c r="H59">
        <f>SUMIF(data!A:A, A59, data!F:F)</f>
        <v>1274</v>
      </c>
    </row>
    <row r="60" spans="1:8" x14ac:dyDescent="0.3">
      <c r="A60" s="1">
        <v>46006</v>
      </c>
      <c r="B60" t="s">
        <v>8</v>
      </c>
      <c r="C60" t="s">
        <v>9</v>
      </c>
      <c r="D60" t="s">
        <v>16</v>
      </c>
      <c r="E60" t="s">
        <v>17</v>
      </c>
      <c r="F60">
        <v>40</v>
      </c>
      <c r="G60" t="s">
        <v>15</v>
      </c>
      <c r="H60">
        <f>SUMIF(data!A:A, A60, data!F:F)</f>
        <v>1274</v>
      </c>
    </row>
    <row r="61" spans="1:8" x14ac:dyDescent="0.3">
      <c r="A61" s="1">
        <v>46006</v>
      </c>
      <c r="B61" t="s">
        <v>8</v>
      </c>
      <c r="C61" t="s">
        <v>9</v>
      </c>
      <c r="D61" t="s">
        <v>27</v>
      </c>
      <c r="E61" t="s">
        <v>34</v>
      </c>
      <c r="F61">
        <v>999</v>
      </c>
      <c r="G61" t="s">
        <v>12</v>
      </c>
      <c r="H61">
        <f>SUMIF(data!A:A, A61, data!F:F)</f>
        <v>1274</v>
      </c>
    </row>
    <row r="62" spans="1:8" x14ac:dyDescent="0.3">
      <c r="A62" s="1">
        <v>46007</v>
      </c>
      <c r="B62" t="s">
        <v>18</v>
      </c>
      <c r="C62" t="s">
        <v>9</v>
      </c>
      <c r="D62" t="s">
        <v>10</v>
      </c>
      <c r="E62" t="s">
        <v>11</v>
      </c>
      <c r="F62">
        <v>80</v>
      </c>
      <c r="G62" t="s">
        <v>12</v>
      </c>
      <c r="H62">
        <f>SUMIF(data!A:A, A62, data!F:F)</f>
        <v>245</v>
      </c>
    </row>
    <row r="63" spans="1:8" x14ac:dyDescent="0.3">
      <c r="A63" s="1">
        <v>46007</v>
      </c>
      <c r="B63" t="s">
        <v>18</v>
      </c>
      <c r="C63" t="s">
        <v>9</v>
      </c>
      <c r="D63" t="s">
        <v>10</v>
      </c>
      <c r="E63" t="s">
        <v>13</v>
      </c>
      <c r="F63">
        <v>90</v>
      </c>
      <c r="G63" t="s">
        <v>12</v>
      </c>
      <c r="H63">
        <f>SUMIF(data!A:A, A63, data!F:F)</f>
        <v>245</v>
      </c>
    </row>
    <row r="64" spans="1:8" x14ac:dyDescent="0.3">
      <c r="A64" s="1">
        <v>46007</v>
      </c>
      <c r="B64" t="s">
        <v>18</v>
      </c>
      <c r="C64" t="s">
        <v>9</v>
      </c>
      <c r="D64" t="s">
        <v>10</v>
      </c>
      <c r="E64" t="s">
        <v>14</v>
      </c>
      <c r="F64">
        <v>35</v>
      </c>
      <c r="G64" t="s">
        <v>15</v>
      </c>
      <c r="H64">
        <f>SUMIF(data!A:A, A64, data!F:F)</f>
        <v>245</v>
      </c>
    </row>
    <row r="65" spans="1:8" x14ac:dyDescent="0.3">
      <c r="A65" s="1">
        <v>46007</v>
      </c>
      <c r="B65" t="s">
        <v>18</v>
      </c>
      <c r="C65" t="s">
        <v>9</v>
      </c>
      <c r="D65" t="s">
        <v>16</v>
      </c>
      <c r="E65" t="s">
        <v>17</v>
      </c>
      <c r="F65">
        <v>40</v>
      </c>
      <c r="G65" t="s">
        <v>15</v>
      </c>
      <c r="H65">
        <f>SUMIF(data!A:A, A65, data!F:F)</f>
        <v>245</v>
      </c>
    </row>
    <row r="66" spans="1:8" x14ac:dyDescent="0.3">
      <c r="A66" s="1">
        <v>46008</v>
      </c>
      <c r="B66" t="s">
        <v>19</v>
      </c>
      <c r="C66" t="s">
        <v>20</v>
      </c>
      <c r="D66" t="s">
        <v>10</v>
      </c>
      <c r="E66" t="s">
        <v>11</v>
      </c>
      <c r="F66">
        <v>95</v>
      </c>
      <c r="G66" t="s">
        <v>12</v>
      </c>
      <c r="H66">
        <f>SUMIF(data!A:A, A66, data!F:F)</f>
        <v>595</v>
      </c>
    </row>
    <row r="67" spans="1:8" x14ac:dyDescent="0.3">
      <c r="A67" s="1">
        <v>46008</v>
      </c>
      <c r="B67" t="s">
        <v>19</v>
      </c>
      <c r="C67" t="s">
        <v>20</v>
      </c>
      <c r="D67" t="s">
        <v>10</v>
      </c>
      <c r="E67" t="s">
        <v>13</v>
      </c>
      <c r="F67">
        <v>100</v>
      </c>
      <c r="G67" t="s">
        <v>12</v>
      </c>
      <c r="H67">
        <f>SUMIF(data!A:A, A67, data!F:F)</f>
        <v>595</v>
      </c>
    </row>
    <row r="68" spans="1:8" x14ac:dyDescent="0.3">
      <c r="A68" s="1">
        <v>46008</v>
      </c>
      <c r="B68" t="s">
        <v>19</v>
      </c>
      <c r="C68" t="s">
        <v>20</v>
      </c>
      <c r="D68" t="s">
        <v>16</v>
      </c>
      <c r="E68" t="s">
        <v>21</v>
      </c>
      <c r="F68">
        <v>100</v>
      </c>
      <c r="G68" t="s">
        <v>15</v>
      </c>
      <c r="H68">
        <f>SUMIF(data!A:A, A68, data!F:F)</f>
        <v>595</v>
      </c>
    </row>
    <row r="69" spans="1:8" x14ac:dyDescent="0.3">
      <c r="A69" s="1">
        <v>46008</v>
      </c>
      <c r="B69" t="s">
        <v>19</v>
      </c>
      <c r="C69" t="s">
        <v>20</v>
      </c>
      <c r="D69" t="s">
        <v>22</v>
      </c>
      <c r="E69" t="s">
        <v>35</v>
      </c>
      <c r="F69">
        <v>300</v>
      </c>
      <c r="G69" t="s">
        <v>12</v>
      </c>
      <c r="H69">
        <f>SUMIF(data!A:A, A69, data!F:F)</f>
        <v>595</v>
      </c>
    </row>
    <row r="70" spans="1:8" x14ac:dyDescent="0.3">
      <c r="A70" s="1">
        <v>46009</v>
      </c>
      <c r="B70" t="s">
        <v>24</v>
      </c>
      <c r="C70" t="s">
        <v>20</v>
      </c>
      <c r="D70" t="s">
        <v>10</v>
      </c>
      <c r="E70" t="s">
        <v>11</v>
      </c>
      <c r="F70">
        <v>90</v>
      </c>
      <c r="G70" t="s">
        <v>12</v>
      </c>
      <c r="H70">
        <f>SUMIF(data!A:A, A70, data!F:F)</f>
        <v>395</v>
      </c>
    </row>
    <row r="71" spans="1:8" x14ac:dyDescent="0.3">
      <c r="A71" s="1">
        <v>46009</v>
      </c>
      <c r="B71" t="s">
        <v>24</v>
      </c>
      <c r="C71" t="s">
        <v>20</v>
      </c>
      <c r="D71" t="s">
        <v>10</v>
      </c>
      <c r="E71" t="s">
        <v>13</v>
      </c>
      <c r="F71">
        <v>95</v>
      </c>
      <c r="G71" t="s">
        <v>12</v>
      </c>
      <c r="H71">
        <f>SUMIF(data!A:A, A71, data!F:F)</f>
        <v>395</v>
      </c>
    </row>
    <row r="72" spans="1:8" x14ac:dyDescent="0.3">
      <c r="A72" s="1">
        <v>46009</v>
      </c>
      <c r="B72" t="s">
        <v>24</v>
      </c>
      <c r="C72" t="s">
        <v>20</v>
      </c>
      <c r="D72" t="s">
        <v>16</v>
      </c>
      <c r="E72" t="s">
        <v>25</v>
      </c>
      <c r="F72">
        <v>210</v>
      </c>
      <c r="G72" t="s">
        <v>12</v>
      </c>
      <c r="H72">
        <f>SUMIF(data!A:A, A72, data!F:F)</f>
        <v>395</v>
      </c>
    </row>
    <row r="73" spans="1:8" x14ac:dyDescent="0.3">
      <c r="A73" s="1">
        <v>46010</v>
      </c>
      <c r="B73" t="s">
        <v>26</v>
      </c>
      <c r="C73" t="s">
        <v>9</v>
      </c>
      <c r="D73" t="s">
        <v>10</v>
      </c>
      <c r="E73" t="s">
        <v>11</v>
      </c>
      <c r="F73">
        <v>75</v>
      </c>
      <c r="G73" t="s">
        <v>12</v>
      </c>
      <c r="H73">
        <f>SUMIF(data!A:A, A73, data!F:F)</f>
        <v>230</v>
      </c>
    </row>
    <row r="74" spans="1:8" x14ac:dyDescent="0.3">
      <c r="A74" s="1">
        <v>46010</v>
      </c>
      <c r="B74" t="s">
        <v>26</v>
      </c>
      <c r="C74" t="s">
        <v>9</v>
      </c>
      <c r="D74" t="s">
        <v>10</v>
      </c>
      <c r="E74" t="s">
        <v>13</v>
      </c>
      <c r="F74">
        <v>85</v>
      </c>
      <c r="G74" t="s">
        <v>12</v>
      </c>
      <c r="H74">
        <f>SUMIF(data!A:A, A74, data!F:F)</f>
        <v>230</v>
      </c>
    </row>
    <row r="75" spans="1:8" x14ac:dyDescent="0.3">
      <c r="A75" s="1">
        <v>46010</v>
      </c>
      <c r="B75" t="s">
        <v>26</v>
      </c>
      <c r="C75" t="s">
        <v>9</v>
      </c>
      <c r="D75" t="s">
        <v>10</v>
      </c>
      <c r="E75" t="s">
        <v>14</v>
      </c>
      <c r="F75">
        <v>30</v>
      </c>
      <c r="G75" t="s">
        <v>15</v>
      </c>
      <c r="H75">
        <f>SUMIF(data!A:A, A75, data!F:F)</f>
        <v>230</v>
      </c>
    </row>
    <row r="76" spans="1:8" x14ac:dyDescent="0.3">
      <c r="A76" s="1">
        <v>46010</v>
      </c>
      <c r="B76" t="s">
        <v>26</v>
      </c>
      <c r="C76" t="s">
        <v>9</v>
      </c>
      <c r="D76" t="s">
        <v>16</v>
      </c>
      <c r="E76" t="s">
        <v>17</v>
      </c>
      <c r="F76">
        <v>40</v>
      </c>
      <c r="G76" t="s">
        <v>15</v>
      </c>
      <c r="H76">
        <f>SUMIF(data!A:A, A76, data!F:F)</f>
        <v>230</v>
      </c>
    </row>
    <row r="77" spans="1:8" x14ac:dyDescent="0.3">
      <c r="A77" s="1">
        <v>46011</v>
      </c>
      <c r="B77" t="s">
        <v>29</v>
      </c>
      <c r="C77" t="s">
        <v>9</v>
      </c>
      <c r="D77" t="s">
        <v>10</v>
      </c>
      <c r="E77" t="s">
        <v>11</v>
      </c>
      <c r="F77">
        <v>80</v>
      </c>
      <c r="G77" t="s">
        <v>12</v>
      </c>
      <c r="H77">
        <f>SUMIF(data!A:A, A77, data!F:F)</f>
        <v>484</v>
      </c>
    </row>
    <row r="78" spans="1:8" x14ac:dyDescent="0.3">
      <c r="A78" s="1">
        <v>46011</v>
      </c>
      <c r="B78" t="s">
        <v>29</v>
      </c>
      <c r="C78" t="s">
        <v>9</v>
      </c>
      <c r="D78" t="s">
        <v>10</v>
      </c>
      <c r="E78" t="s">
        <v>13</v>
      </c>
      <c r="F78">
        <v>90</v>
      </c>
      <c r="G78" t="s">
        <v>12</v>
      </c>
      <c r="H78">
        <f>SUMIF(data!A:A, A78, data!F:F)</f>
        <v>484</v>
      </c>
    </row>
    <row r="79" spans="1:8" x14ac:dyDescent="0.3">
      <c r="A79" s="1">
        <v>46011</v>
      </c>
      <c r="B79" t="s">
        <v>29</v>
      </c>
      <c r="C79" t="s">
        <v>9</v>
      </c>
      <c r="D79" t="s">
        <v>10</v>
      </c>
      <c r="E79" t="s">
        <v>14</v>
      </c>
      <c r="F79">
        <v>35</v>
      </c>
      <c r="G79" t="s">
        <v>15</v>
      </c>
      <c r="H79">
        <f>SUMIF(data!A:A, A79, data!F:F)</f>
        <v>484</v>
      </c>
    </row>
    <row r="80" spans="1:8" x14ac:dyDescent="0.3">
      <c r="A80" s="1">
        <v>46011</v>
      </c>
      <c r="B80" t="s">
        <v>29</v>
      </c>
      <c r="C80" t="s">
        <v>9</v>
      </c>
      <c r="D80" t="s">
        <v>16</v>
      </c>
      <c r="E80" t="s">
        <v>17</v>
      </c>
      <c r="F80">
        <v>40</v>
      </c>
      <c r="G80" t="s">
        <v>15</v>
      </c>
      <c r="H80">
        <f>SUMIF(data!A:A, A80, data!F:F)</f>
        <v>484</v>
      </c>
    </row>
    <row r="81" spans="1:8" x14ac:dyDescent="0.3">
      <c r="A81" s="1">
        <v>46011</v>
      </c>
      <c r="B81" t="s">
        <v>29</v>
      </c>
      <c r="C81" t="s">
        <v>9</v>
      </c>
      <c r="D81" t="s">
        <v>36</v>
      </c>
      <c r="E81" t="s">
        <v>37</v>
      </c>
      <c r="F81">
        <v>239</v>
      </c>
      <c r="G81" t="s">
        <v>12</v>
      </c>
      <c r="H81">
        <f>SUMIF(data!A:A, A81, data!F:F)</f>
        <v>484</v>
      </c>
    </row>
    <row r="82" spans="1:8" x14ac:dyDescent="0.3">
      <c r="A82" s="1">
        <v>46012</v>
      </c>
      <c r="B82" t="s">
        <v>30</v>
      </c>
      <c r="C82" t="s">
        <v>9</v>
      </c>
      <c r="D82" t="s">
        <v>10</v>
      </c>
      <c r="E82" t="s">
        <v>11</v>
      </c>
      <c r="F82">
        <v>85</v>
      </c>
      <c r="G82" t="s">
        <v>12</v>
      </c>
      <c r="H82">
        <f>SUMIF(data!A:A, A82, data!F:F)</f>
        <v>520</v>
      </c>
    </row>
    <row r="83" spans="1:8" x14ac:dyDescent="0.3">
      <c r="A83" s="1">
        <v>46012</v>
      </c>
      <c r="B83" t="s">
        <v>30</v>
      </c>
      <c r="C83" t="s">
        <v>9</v>
      </c>
      <c r="D83" t="s">
        <v>10</v>
      </c>
      <c r="E83" t="s">
        <v>13</v>
      </c>
      <c r="F83">
        <v>95</v>
      </c>
      <c r="G83" t="s">
        <v>12</v>
      </c>
      <c r="H83">
        <f>SUMIF(data!A:A, A83, data!F:F)</f>
        <v>520</v>
      </c>
    </row>
    <row r="84" spans="1:8" x14ac:dyDescent="0.3">
      <c r="A84" s="1">
        <v>46012</v>
      </c>
      <c r="B84" t="s">
        <v>30</v>
      </c>
      <c r="C84" t="s">
        <v>9</v>
      </c>
      <c r="D84" t="s">
        <v>10</v>
      </c>
      <c r="E84" t="s">
        <v>14</v>
      </c>
      <c r="F84">
        <v>40</v>
      </c>
      <c r="G84" t="s">
        <v>15</v>
      </c>
      <c r="H84">
        <f>SUMIF(data!A:A, A84, data!F:F)</f>
        <v>520</v>
      </c>
    </row>
    <row r="85" spans="1:8" x14ac:dyDescent="0.3">
      <c r="A85" s="1">
        <v>46012</v>
      </c>
      <c r="B85" t="s">
        <v>30</v>
      </c>
      <c r="C85" t="s">
        <v>9</v>
      </c>
      <c r="D85" t="s">
        <v>16</v>
      </c>
      <c r="E85" t="s">
        <v>31</v>
      </c>
      <c r="F85">
        <v>300</v>
      </c>
      <c r="G85" t="s">
        <v>12</v>
      </c>
      <c r="H85">
        <f>SUMIF(data!A:A, A85, data!F:F)</f>
        <v>520</v>
      </c>
    </row>
    <row r="86" spans="1:8" x14ac:dyDescent="0.3">
      <c r="A86" s="1">
        <v>46013</v>
      </c>
      <c r="B86" t="s">
        <v>8</v>
      </c>
      <c r="C86" t="s">
        <v>9</v>
      </c>
      <c r="D86" t="s">
        <v>10</v>
      </c>
      <c r="E86" t="s">
        <v>11</v>
      </c>
      <c r="F86">
        <v>90</v>
      </c>
      <c r="G86" t="s">
        <v>12</v>
      </c>
      <c r="H86">
        <f>SUMIF(data!A:A, A86, data!F:F)</f>
        <v>275</v>
      </c>
    </row>
    <row r="87" spans="1:8" x14ac:dyDescent="0.3">
      <c r="A87" s="1">
        <v>46013</v>
      </c>
      <c r="B87" t="s">
        <v>8</v>
      </c>
      <c r="C87" t="s">
        <v>9</v>
      </c>
      <c r="D87" t="s">
        <v>10</v>
      </c>
      <c r="E87" t="s">
        <v>13</v>
      </c>
      <c r="F87">
        <v>100</v>
      </c>
      <c r="G87" t="s">
        <v>12</v>
      </c>
      <c r="H87">
        <f>SUMIF(data!A:A, A87, data!F:F)</f>
        <v>275</v>
      </c>
    </row>
    <row r="88" spans="1:8" x14ac:dyDescent="0.3">
      <c r="A88" s="1">
        <v>46013</v>
      </c>
      <c r="B88" t="s">
        <v>8</v>
      </c>
      <c r="C88" t="s">
        <v>9</v>
      </c>
      <c r="D88" t="s">
        <v>10</v>
      </c>
      <c r="E88" t="s">
        <v>14</v>
      </c>
      <c r="F88">
        <v>45</v>
      </c>
      <c r="G88" t="s">
        <v>15</v>
      </c>
      <c r="H88">
        <f>SUMIF(data!A:A, A88, data!F:F)</f>
        <v>275</v>
      </c>
    </row>
    <row r="89" spans="1:8" x14ac:dyDescent="0.3">
      <c r="A89" s="1">
        <v>46013</v>
      </c>
      <c r="B89" t="s">
        <v>8</v>
      </c>
      <c r="C89" t="s">
        <v>9</v>
      </c>
      <c r="D89" t="s">
        <v>16</v>
      </c>
      <c r="E89" t="s">
        <v>17</v>
      </c>
      <c r="F89">
        <v>40</v>
      </c>
      <c r="G89" t="s">
        <v>15</v>
      </c>
      <c r="H89">
        <f>SUMIF(data!A:A, A89, data!F:F)</f>
        <v>275</v>
      </c>
    </row>
    <row r="90" spans="1:8" x14ac:dyDescent="0.3">
      <c r="A90" s="1">
        <v>46014</v>
      </c>
      <c r="B90" t="s">
        <v>18</v>
      </c>
      <c r="C90" t="s">
        <v>9</v>
      </c>
      <c r="D90" t="s">
        <v>10</v>
      </c>
      <c r="E90" t="s">
        <v>11</v>
      </c>
      <c r="F90">
        <v>80</v>
      </c>
      <c r="G90" t="s">
        <v>12</v>
      </c>
      <c r="H90">
        <f>SUMIF(data!A:A, A90, data!F:F)</f>
        <v>245</v>
      </c>
    </row>
    <row r="91" spans="1:8" x14ac:dyDescent="0.3">
      <c r="A91" s="1">
        <v>46014</v>
      </c>
      <c r="B91" t="s">
        <v>18</v>
      </c>
      <c r="C91" t="s">
        <v>9</v>
      </c>
      <c r="D91" t="s">
        <v>10</v>
      </c>
      <c r="E91" t="s">
        <v>13</v>
      </c>
      <c r="F91">
        <v>90</v>
      </c>
      <c r="G91" t="s">
        <v>12</v>
      </c>
      <c r="H91">
        <f>SUMIF(data!A:A, A91, data!F:F)</f>
        <v>245</v>
      </c>
    </row>
    <row r="92" spans="1:8" x14ac:dyDescent="0.3">
      <c r="A92" s="1">
        <v>46014</v>
      </c>
      <c r="B92" t="s">
        <v>18</v>
      </c>
      <c r="C92" t="s">
        <v>9</v>
      </c>
      <c r="D92" t="s">
        <v>10</v>
      </c>
      <c r="E92" t="s">
        <v>14</v>
      </c>
      <c r="F92">
        <v>35</v>
      </c>
      <c r="G92" t="s">
        <v>15</v>
      </c>
      <c r="H92">
        <f>SUMIF(data!A:A, A92, data!F:F)</f>
        <v>245</v>
      </c>
    </row>
    <row r="93" spans="1:8" x14ac:dyDescent="0.3">
      <c r="A93" s="1">
        <v>46014</v>
      </c>
      <c r="B93" t="s">
        <v>18</v>
      </c>
      <c r="C93" t="s">
        <v>9</v>
      </c>
      <c r="D93" t="s">
        <v>16</v>
      </c>
      <c r="E93" t="s">
        <v>17</v>
      </c>
      <c r="F93">
        <v>40</v>
      </c>
      <c r="G93" t="s">
        <v>15</v>
      </c>
      <c r="H93">
        <f>SUMIF(data!A:A, A93, data!F:F)</f>
        <v>245</v>
      </c>
    </row>
    <row r="94" spans="1:8" x14ac:dyDescent="0.3">
      <c r="A94" s="1">
        <v>46015</v>
      </c>
      <c r="B94" t="s">
        <v>19</v>
      </c>
      <c r="C94" t="s">
        <v>20</v>
      </c>
      <c r="D94" t="s">
        <v>10</v>
      </c>
      <c r="E94" t="s">
        <v>11</v>
      </c>
      <c r="F94">
        <v>95</v>
      </c>
      <c r="G94" t="s">
        <v>12</v>
      </c>
      <c r="H94">
        <f>SUMIF(data!A:A, A94, data!F:F)</f>
        <v>2090</v>
      </c>
    </row>
    <row r="95" spans="1:8" x14ac:dyDescent="0.3">
      <c r="A95" s="1">
        <v>46015</v>
      </c>
      <c r="B95" t="s">
        <v>19</v>
      </c>
      <c r="C95" t="s">
        <v>20</v>
      </c>
      <c r="D95" t="s">
        <v>10</v>
      </c>
      <c r="E95" t="s">
        <v>13</v>
      </c>
      <c r="F95">
        <v>100</v>
      </c>
      <c r="G95" t="s">
        <v>12</v>
      </c>
      <c r="H95">
        <f>SUMIF(data!A:A, A95, data!F:F)</f>
        <v>2090</v>
      </c>
    </row>
    <row r="96" spans="1:8" x14ac:dyDescent="0.3">
      <c r="A96" s="1">
        <v>46015</v>
      </c>
      <c r="B96" t="s">
        <v>19</v>
      </c>
      <c r="C96" t="s">
        <v>20</v>
      </c>
      <c r="D96" t="s">
        <v>16</v>
      </c>
      <c r="E96" t="s">
        <v>21</v>
      </c>
      <c r="F96">
        <v>95</v>
      </c>
      <c r="G96" t="s">
        <v>15</v>
      </c>
      <c r="H96">
        <f>SUMIF(data!A:A, A96, data!F:F)</f>
        <v>2090</v>
      </c>
    </row>
    <row r="97" spans="1:8" x14ac:dyDescent="0.3">
      <c r="A97" s="1">
        <v>46015</v>
      </c>
      <c r="B97" t="s">
        <v>19</v>
      </c>
      <c r="C97" t="s">
        <v>20</v>
      </c>
      <c r="D97" t="s">
        <v>32</v>
      </c>
      <c r="E97" t="s">
        <v>38</v>
      </c>
      <c r="F97">
        <v>1800</v>
      </c>
      <c r="G97" t="s">
        <v>12</v>
      </c>
      <c r="H97">
        <f>SUMIF(data!A:A, A97, data!F:F)</f>
        <v>2090</v>
      </c>
    </row>
    <row r="98" spans="1:8" x14ac:dyDescent="0.3">
      <c r="A98" s="1">
        <v>46016</v>
      </c>
      <c r="B98" t="s">
        <v>24</v>
      </c>
      <c r="C98" t="s">
        <v>20</v>
      </c>
      <c r="D98" t="s">
        <v>10</v>
      </c>
      <c r="E98" t="s">
        <v>11</v>
      </c>
      <c r="F98">
        <v>90</v>
      </c>
      <c r="G98" t="s">
        <v>12</v>
      </c>
      <c r="H98">
        <f>SUMIF(data!A:A, A98, data!F:F)</f>
        <v>385</v>
      </c>
    </row>
    <row r="99" spans="1:8" x14ac:dyDescent="0.3">
      <c r="A99" s="1">
        <v>46016</v>
      </c>
      <c r="B99" t="s">
        <v>24</v>
      </c>
      <c r="C99" t="s">
        <v>20</v>
      </c>
      <c r="D99" t="s">
        <v>10</v>
      </c>
      <c r="E99" t="s">
        <v>13</v>
      </c>
      <c r="F99">
        <v>95</v>
      </c>
      <c r="G99" t="s">
        <v>12</v>
      </c>
      <c r="H99">
        <f>SUMIF(data!A:A, A99, data!F:F)</f>
        <v>385</v>
      </c>
    </row>
    <row r="100" spans="1:8" x14ac:dyDescent="0.3">
      <c r="A100" s="1">
        <v>46016</v>
      </c>
      <c r="B100" t="s">
        <v>24</v>
      </c>
      <c r="C100" t="s">
        <v>20</v>
      </c>
      <c r="D100" t="s">
        <v>16</v>
      </c>
      <c r="E100" t="s">
        <v>25</v>
      </c>
      <c r="F100">
        <v>200</v>
      </c>
      <c r="G100" t="s">
        <v>12</v>
      </c>
      <c r="H100">
        <f>SUMIF(data!A:A, A100, data!F:F)</f>
        <v>385</v>
      </c>
    </row>
    <row r="101" spans="1:8" x14ac:dyDescent="0.3">
      <c r="A101" s="1">
        <v>46017</v>
      </c>
      <c r="B101" t="s">
        <v>26</v>
      </c>
      <c r="C101" t="s">
        <v>9</v>
      </c>
      <c r="D101" t="s">
        <v>10</v>
      </c>
      <c r="E101" t="s">
        <v>11</v>
      </c>
      <c r="F101">
        <v>75</v>
      </c>
      <c r="G101" t="s">
        <v>12</v>
      </c>
      <c r="H101">
        <f>SUMIF(data!A:A, A112, data!F:F)</f>
        <v>520</v>
      </c>
    </row>
    <row r="102" spans="1:8" x14ac:dyDescent="0.3">
      <c r="A102" s="1">
        <v>46017</v>
      </c>
      <c r="B102" t="s">
        <v>26</v>
      </c>
      <c r="C102" t="s">
        <v>9</v>
      </c>
      <c r="D102" t="s">
        <v>10</v>
      </c>
      <c r="E102" t="s">
        <v>13</v>
      </c>
      <c r="F102">
        <v>85</v>
      </c>
      <c r="G102" t="s">
        <v>12</v>
      </c>
      <c r="H102">
        <f>SUMIF(data!A:A, A102, data!F:F)</f>
        <v>230</v>
      </c>
    </row>
    <row r="103" spans="1:8" x14ac:dyDescent="0.3">
      <c r="A103" s="1">
        <v>46017</v>
      </c>
      <c r="B103" t="s">
        <v>26</v>
      </c>
      <c r="C103" t="s">
        <v>9</v>
      </c>
      <c r="D103" t="s">
        <v>10</v>
      </c>
      <c r="E103" t="s">
        <v>14</v>
      </c>
      <c r="F103">
        <v>30</v>
      </c>
      <c r="G103" t="s">
        <v>15</v>
      </c>
      <c r="H103">
        <f>SUMIF(data!A:A, A103, data!F:F)</f>
        <v>230</v>
      </c>
    </row>
    <row r="104" spans="1:8" x14ac:dyDescent="0.3">
      <c r="A104" s="1">
        <v>46017</v>
      </c>
      <c r="B104" t="s">
        <v>26</v>
      </c>
      <c r="C104" t="s">
        <v>9</v>
      </c>
      <c r="D104" t="s">
        <v>16</v>
      </c>
      <c r="E104" t="s">
        <v>17</v>
      </c>
      <c r="F104">
        <v>40</v>
      </c>
      <c r="G104" t="s">
        <v>15</v>
      </c>
      <c r="H104">
        <f>SUMIF(data!A:A, A104, data!F:F)</f>
        <v>230</v>
      </c>
    </row>
    <row r="105" spans="1:8" x14ac:dyDescent="0.3">
      <c r="A105" s="1">
        <v>46018</v>
      </c>
      <c r="B105" t="s">
        <v>29</v>
      </c>
      <c r="C105" t="s">
        <v>9</v>
      </c>
      <c r="D105" t="s">
        <v>10</v>
      </c>
      <c r="E105" t="s">
        <v>11</v>
      </c>
      <c r="F105">
        <v>80</v>
      </c>
      <c r="G105" t="s">
        <v>12</v>
      </c>
      <c r="H105">
        <f>SUMIF(data!A:A, A105, data!F:F)</f>
        <v>245</v>
      </c>
    </row>
    <row r="106" spans="1:8" x14ac:dyDescent="0.3">
      <c r="A106" s="1">
        <v>46018</v>
      </c>
      <c r="B106" t="s">
        <v>29</v>
      </c>
      <c r="C106" t="s">
        <v>9</v>
      </c>
      <c r="D106" t="s">
        <v>10</v>
      </c>
      <c r="E106" t="s">
        <v>13</v>
      </c>
      <c r="F106">
        <v>90</v>
      </c>
      <c r="G106" t="s">
        <v>12</v>
      </c>
      <c r="H106">
        <f>SUMIF(data!A:A, A106, data!F:F)</f>
        <v>245</v>
      </c>
    </row>
    <row r="107" spans="1:8" x14ac:dyDescent="0.3">
      <c r="A107" s="1">
        <v>46018</v>
      </c>
      <c r="B107" t="s">
        <v>29</v>
      </c>
      <c r="C107" t="s">
        <v>9</v>
      </c>
      <c r="D107" t="s">
        <v>10</v>
      </c>
      <c r="E107" t="s">
        <v>14</v>
      </c>
      <c r="F107">
        <v>35</v>
      </c>
      <c r="G107" t="s">
        <v>15</v>
      </c>
      <c r="H107">
        <f>SUMIF(data!A:A, A107, data!F:F)</f>
        <v>245</v>
      </c>
    </row>
    <row r="108" spans="1:8" x14ac:dyDescent="0.3">
      <c r="A108" s="1">
        <v>46018</v>
      </c>
      <c r="B108" t="s">
        <v>29</v>
      </c>
      <c r="C108" t="s">
        <v>9</v>
      </c>
      <c r="D108" t="s">
        <v>16</v>
      </c>
      <c r="E108" t="s">
        <v>17</v>
      </c>
      <c r="F108">
        <v>40</v>
      </c>
      <c r="G108" t="s">
        <v>15</v>
      </c>
      <c r="H108">
        <f>SUMIF(data!A:A, A108, data!F:F)</f>
        <v>245</v>
      </c>
    </row>
    <row r="109" spans="1:8" x14ac:dyDescent="0.3">
      <c r="A109" s="1">
        <v>46019</v>
      </c>
      <c r="B109" t="s">
        <v>30</v>
      </c>
      <c r="C109" t="s">
        <v>9</v>
      </c>
      <c r="D109" t="s">
        <v>10</v>
      </c>
      <c r="E109" t="s">
        <v>11</v>
      </c>
      <c r="F109">
        <v>85</v>
      </c>
      <c r="G109" t="s">
        <v>12</v>
      </c>
      <c r="H109">
        <f>SUMIF(data!A:A, A109, data!F:F)</f>
        <v>520</v>
      </c>
    </row>
    <row r="110" spans="1:8" x14ac:dyDescent="0.3">
      <c r="A110" s="1">
        <v>46019</v>
      </c>
      <c r="B110" t="s">
        <v>30</v>
      </c>
      <c r="C110" t="s">
        <v>9</v>
      </c>
      <c r="D110" t="s">
        <v>10</v>
      </c>
      <c r="E110" t="s">
        <v>13</v>
      </c>
      <c r="F110">
        <v>95</v>
      </c>
      <c r="G110" t="s">
        <v>12</v>
      </c>
      <c r="H110">
        <f>SUMIF(data!A:A, A110, data!F:F)</f>
        <v>520</v>
      </c>
    </row>
    <row r="111" spans="1:8" x14ac:dyDescent="0.3">
      <c r="A111" s="1">
        <v>46019</v>
      </c>
      <c r="B111" t="s">
        <v>30</v>
      </c>
      <c r="C111" t="s">
        <v>9</v>
      </c>
      <c r="D111" t="s">
        <v>10</v>
      </c>
      <c r="E111" t="s">
        <v>14</v>
      </c>
      <c r="F111">
        <v>40</v>
      </c>
      <c r="G111" t="s">
        <v>15</v>
      </c>
      <c r="H111">
        <f>SUMIF(data!A:A, A111, data!F:F)</f>
        <v>520</v>
      </c>
    </row>
    <row r="112" spans="1:8" x14ac:dyDescent="0.3">
      <c r="A112" s="1">
        <v>46019</v>
      </c>
      <c r="B112" t="s">
        <v>30</v>
      </c>
      <c r="C112" t="s">
        <v>9</v>
      </c>
      <c r="D112" t="s">
        <v>16</v>
      </c>
      <c r="E112" t="s">
        <v>31</v>
      </c>
      <c r="F112">
        <v>300</v>
      </c>
      <c r="G112" t="s">
        <v>12</v>
      </c>
      <c r="H112">
        <f>SUMIF(data!A:A, A112, data!F:F)</f>
        <v>520</v>
      </c>
    </row>
    <row r="113" spans="1:8" x14ac:dyDescent="0.3">
      <c r="A113" s="1">
        <v>46020</v>
      </c>
      <c r="B113" t="s">
        <v>8</v>
      </c>
      <c r="C113" t="s">
        <v>9</v>
      </c>
      <c r="D113" t="s">
        <v>10</v>
      </c>
      <c r="E113" t="s">
        <v>11</v>
      </c>
      <c r="F113">
        <v>90</v>
      </c>
      <c r="G113" t="s">
        <v>12</v>
      </c>
      <c r="H113">
        <f>SUMIF(data!A:A, A113, data!F:F)</f>
        <v>275</v>
      </c>
    </row>
    <row r="114" spans="1:8" x14ac:dyDescent="0.3">
      <c r="A114" s="1">
        <v>46020</v>
      </c>
      <c r="B114" t="s">
        <v>8</v>
      </c>
      <c r="C114" t="s">
        <v>9</v>
      </c>
      <c r="D114" t="s">
        <v>10</v>
      </c>
      <c r="E114" t="s">
        <v>13</v>
      </c>
      <c r="F114">
        <v>100</v>
      </c>
      <c r="G114" t="s">
        <v>12</v>
      </c>
      <c r="H114">
        <f>SUMIF(data!A:A, A114, data!F:F)</f>
        <v>275</v>
      </c>
    </row>
    <row r="115" spans="1:8" x14ac:dyDescent="0.3">
      <c r="A115" s="1">
        <v>46020</v>
      </c>
      <c r="B115" t="s">
        <v>8</v>
      </c>
      <c r="C115" t="s">
        <v>9</v>
      </c>
      <c r="D115" t="s">
        <v>10</v>
      </c>
      <c r="E115" t="s">
        <v>14</v>
      </c>
      <c r="F115">
        <v>45</v>
      </c>
      <c r="G115" t="s">
        <v>15</v>
      </c>
      <c r="H115">
        <f>SUMIF(data!A:A, A115, data!F:F)</f>
        <v>275</v>
      </c>
    </row>
    <row r="116" spans="1:8" x14ac:dyDescent="0.3">
      <c r="A116" s="1">
        <v>46020</v>
      </c>
      <c r="B116" t="s">
        <v>8</v>
      </c>
      <c r="C116" t="s">
        <v>9</v>
      </c>
      <c r="D116" t="s">
        <v>16</v>
      </c>
      <c r="E116" t="s">
        <v>17</v>
      </c>
      <c r="F116">
        <v>40</v>
      </c>
      <c r="G116" t="s">
        <v>15</v>
      </c>
      <c r="H116">
        <f>SUMIF(data!A:A, A116, data!F:F)</f>
        <v>275</v>
      </c>
    </row>
    <row r="117" spans="1:8" x14ac:dyDescent="0.3">
      <c r="A117" s="1">
        <v>46021</v>
      </c>
      <c r="B117" t="s">
        <v>18</v>
      </c>
      <c r="C117" t="s">
        <v>9</v>
      </c>
      <c r="D117" t="s">
        <v>10</v>
      </c>
      <c r="E117" t="s">
        <v>11</v>
      </c>
      <c r="F117">
        <v>80</v>
      </c>
      <c r="G117" t="s">
        <v>12</v>
      </c>
      <c r="H117">
        <f>SUMIF(data!A:A, A117, data!F:F)</f>
        <v>245</v>
      </c>
    </row>
    <row r="118" spans="1:8" x14ac:dyDescent="0.3">
      <c r="A118" s="1">
        <v>46021</v>
      </c>
      <c r="B118" t="s">
        <v>18</v>
      </c>
      <c r="C118" t="s">
        <v>9</v>
      </c>
      <c r="D118" t="s">
        <v>10</v>
      </c>
      <c r="E118" t="s">
        <v>13</v>
      </c>
      <c r="F118">
        <v>90</v>
      </c>
      <c r="G118" t="s">
        <v>12</v>
      </c>
      <c r="H118">
        <f>SUMIF(data!A:A, A118, data!F:F)</f>
        <v>245</v>
      </c>
    </row>
    <row r="119" spans="1:8" x14ac:dyDescent="0.3">
      <c r="A119" s="1">
        <v>46021</v>
      </c>
      <c r="B119" t="s">
        <v>18</v>
      </c>
      <c r="C119" t="s">
        <v>9</v>
      </c>
      <c r="D119" t="s">
        <v>10</v>
      </c>
      <c r="E119" t="s">
        <v>14</v>
      </c>
      <c r="F119">
        <v>35</v>
      </c>
      <c r="G119" t="s">
        <v>15</v>
      </c>
      <c r="H119">
        <f>SUMIF(data!A:A, A119, data!F:F)</f>
        <v>245</v>
      </c>
    </row>
    <row r="120" spans="1:8" x14ac:dyDescent="0.3">
      <c r="A120" s="1">
        <v>46021</v>
      </c>
      <c r="B120" t="s">
        <v>18</v>
      </c>
      <c r="C120" t="s">
        <v>9</v>
      </c>
      <c r="D120" t="s">
        <v>16</v>
      </c>
      <c r="E120" t="s">
        <v>17</v>
      </c>
      <c r="F120">
        <v>40</v>
      </c>
      <c r="G120" t="s">
        <v>15</v>
      </c>
      <c r="H120">
        <f>SUMIF(data!A:A, A120, data!F:F)</f>
        <v>245</v>
      </c>
    </row>
  </sheetData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5EA1-E7AD-4A1F-8D86-87D70DADB30C}">
  <dimension ref="A1:H32"/>
  <sheetViews>
    <sheetView topLeftCell="A9" workbookViewId="0">
      <selection activeCell="E24" sqref="E24:E25"/>
    </sheetView>
  </sheetViews>
  <sheetFormatPr defaultRowHeight="14.4" x14ac:dyDescent="0.3"/>
  <cols>
    <col min="1" max="1" width="10.44140625" customWidth="1"/>
    <col min="2" max="2" width="10.33203125" bestFit="1" customWidth="1"/>
    <col min="4" max="4" width="13.109375" bestFit="1" customWidth="1"/>
    <col min="5" max="5" width="16" bestFit="1" customWidth="1"/>
    <col min="7" max="7" width="13.6640625" bestFit="1" customWidth="1"/>
    <col min="8" max="8" width="16" bestFit="1" customWidth="1"/>
  </cols>
  <sheetData>
    <row r="1" spans="1:8" x14ac:dyDescent="0.3">
      <c r="A1" s="1" t="str">
        <f>data!A1</f>
        <v>DATE</v>
      </c>
      <c r="B1" t="s">
        <v>39</v>
      </c>
    </row>
    <row r="2" spans="1:8" x14ac:dyDescent="0.3">
      <c r="A2" s="1">
        <f>data!A2</f>
        <v>45992</v>
      </c>
      <c r="B2" s="29">
        <f>SUMIF(data!A:A, A2, data!F:F)</f>
        <v>255</v>
      </c>
      <c r="D2" s="2" t="s">
        <v>2</v>
      </c>
      <c r="E2" t="s">
        <v>40</v>
      </c>
      <c r="G2" s="2" t="s">
        <v>3</v>
      </c>
      <c r="H2" t="s">
        <v>40</v>
      </c>
    </row>
    <row r="3" spans="1:8" x14ac:dyDescent="0.3">
      <c r="A3" s="1">
        <f>data!A6</f>
        <v>45993</v>
      </c>
      <c r="B3" s="29">
        <f>SUMIF(data!A:A, A3, data!F:F)</f>
        <v>250</v>
      </c>
      <c r="D3" t="s">
        <v>9</v>
      </c>
      <c r="E3" s="30">
        <v>9453</v>
      </c>
      <c r="G3" t="s">
        <v>27</v>
      </c>
      <c r="H3" s="30">
        <v>1449</v>
      </c>
    </row>
    <row r="4" spans="1:8" x14ac:dyDescent="0.3">
      <c r="A4" s="1">
        <f>data!A10</f>
        <v>45994</v>
      </c>
      <c r="B4" s="29">
        <f>SUMIF(data!A:A, A4, data!F:F)</f>
        <v>530</v>
      </c>
      <c r="D4" t="s">
        <v>20</v>
      </c>
      <c r="E4" s="30">
        <v>5080</v>
      </c>
      <c r="G4" t="s">
        <v>22</v>
      </c>
      <c r="H4" s="30">
        <v>550</v>
      </c>
    </row>
    <row r="5" spans="1:8" x14ac:dyDescent="0.3">
      <c r="A5" s="1">
        <f>data!A14</f>
        <v>45995</v>
      </c>
      <c r="B5" s="29">
        <f>SUMIF(data!A:A, A5, data!F:F)</f>
        <v>395</v>
      </c>
      <c r="D5" t="s">
        <v>41</v>
      </c>
      <c r="E5">
        <v>14533</v>
      </c>
      <c r="G5" t="s">
        <v>10</v>
      </c>
      <c r="H5" s="30">
        <v>6170</v>
      </c>
    </row>
    <row r="6" spans="1:8" x14ac:dyDescent="0.3">
      <c r="A6" s="1">
        <f>data!A17</f>
        <v>45996</v>
      </c>
      <c r="B6" s="29">
        <f>SUMIF(data!A:A, A6, data!F:F)</f>
        <v>680</v>
      </c>
      <c r="G6" t="s">
        <v>36</v>
      </c>
      <c r="H6" s="30">
        <v>239</v>
      </c>
    </row>
    <row r="7" spans="1:8" x14ac:dyDescent="0.3">
      <c r="A7" s="1">
        <f>data!A22</f>
        <v>45997</v>
      </c>
      <c r="B7" s="29">
        <f>SUMIF(data!A:A, A7, data!F:F)</f>
        <v>245</v>
      </c>
      <c r="G7" t="s">
        <v>32</v>
      </c>
      <c r="H7" s="30">
        <v>3000</v>
      </c>
    </row>
    <row r="8" spans="1:8" x14ac:dyDescent="0.3">
      <c r="A8" s="1">
        <f>data!A26</f>
        <v>45998</v>
      </c>
      <c r="B8" s="29">
        <f>SUMIF(data!A:A, A8, data!F:F)</f>
        <v>520</v>
      </c>
      <c r="G8" t="s">
        <v>16</v>
      </c>
      <c r="H8" s="30">
        <v>3125</v>
      </c>
    </row>
    <row r="9" spans="1:8" x14ac:dyDescent="0.3">
      <c r="A9" s="1">
        <f>data!A30</f>
        <v>45999</v>
      </c>
      <c r="B9" s="29">
        <f>SUMIF(data!A:A, A9, data!F:F)</f>
        <v>275</v>
      </c>
      <c r="G9" t="s">
        <v>41</v>
      </c>
      <c r="H9" s="30">
        <v>14533</v>
      </c>
    </row>
    <row r="10" spans="1:8" x14ac:dyDescent="0.3">
      <c r="A10" s="1">
        <f>data!A34</f>
        <v>46000</v>
      </c>
      <c r="B10" s="29">
        <f>SUMIF(data!A:A, A10, data!F:F)</f>
        <v>1445</v>
      </c>
    </row>
    <row r="11" spans="1:8" x14ac:dyDescent="0.3">
      <c r="A11" s="1">
        <f>data!A39</f>
        <v>46001</v>
      </c>
      <c r="B11" s="29">
        <f>SUMIF(data!A:A, A11, data!F:F)</f>
        <v>295</v>
      </c>
    </row>
    <row r="12" spans="1:8" x14ac:dyDescent="0.3">
      <c r="A12" s="1">
        <f>data!A42</f>
        <v>46002</v>
      </c>
      <c r="B12" s="29">
        <f>SUMIF(data!A:A, A12, data!F:F)</f>
        <v>395</v>
      </c>
    </row>
    <row r="13" spans="1:8" x14ac:dyDescent="0.3">
      <c r="A13" s="1">
        <f>data!A45</f>
        <v>46003</v>
      </c>
      <c r="B13" s="29">
        <f>SUMIF(data!A:A, A13, data!F:F)</f>
        <v>230</v>
      </c>
    </row>
    <row r="14" spans="1:8" x14ac:dyDescent="0.3">
      <c r="A14" s="1">
        <f>data!A49</f>
        <v>46004</v>
      </c>
      <c r="B14" s="29">
        <f>SUMIF(data!A:A, A14, data!F:F)</f>
        <v>245</v>
      </c>
    </row>
    <row r="15" spans="1:8" x14ac:dyDescent="0.3">
      <c r="A15" s="1">
        <f>data!A53</f>
        <v>46005</v>
      </c>
      <c r="B15" s="29">
        <f>SUMIF(data!A:A, A15, data!F:F)</f>
        <v>520</v>
      </c>
    </row>
    <row r="16" spans="1:8" x14ac:dyDescent="0.3">
      <c r="A16" s="1">
        <f>data!A57</f>
        <v>46006</v>
      </c>
      <c r="B16" s="29">
        <f>SUMIF(data!A:A, A16, data!F:F)</f>
        <v>1274</v>
      </c>
    </row>
    <row r="17" spans="1:2" x14ac:dyDescent="0.3">
      <c r="A17" s="1">
        <f>data!A62</f>
        <v>46007</v>
      </c>
      <c r="B17" s="29">
        <f>SUMIF(data!A:A, A17, data!F:F)</f>
        <v>245</v>
      </c>
    </row>
    <row r="18" spans="1:2" x14ac:dyDescent="0.3">
      <c r="A18" s="1">
        <f>data!A66</f>
        <v>46008</v>
      </c>
      <c r="B18" s="29">
        <f>SUMIF(data!A:A, A18, data!F:F)</f>
        <v>595</v>
      </c>
    </row>
    <row r="19" spans="1:2" x14ac:dyDescent="0.3">
      <c r="A19" s="1">
        <f>data!A70</f>
        <v>46009</v>
      </c>
      <c r="B19" s="29">
        <f>SUMIF(data!A:A, A19, data!F:F)</f>
        <v>395</v>
      </c>
    </row>
    <row r="20" spans="1:2" x14ac:dyDescent="0.3">
      <c r="A20" s="1">
        <f>data!A73</f>
        <v>46010</v>
      </c>
      <c r="B20" s="29">
        <f>SUMIF(data!A:A, A20, data!F:F)</f>
        <v>230</v>
      </c>
    </row>
    <row r="21" spans="1:2" x14ac:dyDescent="0.3">
      <c r="A21" s="1">
        <f>data!A77</f>
        <v>46011</v>
      </c>
      <c r="B21" s="29">
        <f>SUMIF(data!A:A, A21, data!F:F)</f>
        <v>484</v>
      </c>
    </row>
    <row r="22" spans="1:2" x14ac:dyDescent="0.3">
      <c r="A22" s="1">
        <f>data!A82</f>
        <v>46012</v>
      </c>
      <c r="B22" s="29">
        <f>SUMIF(data!A:A, A22, data!F:F)</f>
        <v>520</v>
      </c>
    </row>
    <row r="23" spans="1:2" x14ac:dyDescent="0.3">
      <c r="A23" s="1">
        <f>data!A86</f>
        <v>46013</v>
      </c>
      <c r="B23" s="29">
        <f>SUMIF(data!A:A, A23, data!F:F)</f>
        <v>275</v>
      </c>
    </row>
    <row r="24" spans="1:2" x14ac:dyDescent="0.3">
      <c r="A24" s="1">
        <f>data!A90</f>
        <v>46014</v>
      </c>
      <c r="B24" s="29">
        <f>SUMIF(data!A:A, A24, data!F:F)</f>
        <v>245</v>
      </c>
    </row>
    <row r="25" spans="1:2" x14ac:dyDescent="0.3">
      <c r="A25" s="1">
        <f>data!A94</f>
        <v>46015</v>
      </c>
      <c r="B25" s="29">
        <f>SUMIF(data!A:A, A25, data!F:F)</f>
        <v>2090</v>
      </c>
    </row>
    <row r="26" spans="1:2" x14ac:dyDescent="0.3">
      <c r="A26" s="1">
        <f>data!A98</f>
        <v>46016</v>
      </c>
      <c r="B26" s="29">
        <f>SUMIF(data!A:A, A26, data!F:F)</f>
        <v>385</v>
      </c>
    </row>
    <row r="27" spans="1:2" x14ac:dyDescent="0.3">
      <c r="A27" s="1">
        <f>data!A101</f>
        <v>46017</v>
      </c>
      <c r="B27" s="29">
        <f>SUMIF(data!A:A, A27, data!F:F)</f>
        <v>230</v>
      </c>
    </row>
    <row r="28" spans="1:2" x14ac:dyDescent="0.3">
      <c r="A28" s="1">
        <f>data!A105</f>
        <v>46018</v>
      </c>
      <c r="B28" s="29">
        <f>SUMIF(data!A:A, A28, data!F:F)</f>
        <v>245</v>
      </c>
    </row>
    <row r="29" spans="1:2" x14ac:dyDescent="0.3">
      <c r="A29" s="1">
        <f>data!A109</f>
        <v>46019</v>
      </c>
      <c r="B29" s="29">
        <f>SUMIF(data!A:A, A29, data!F:F)</f>
        <v>520</v>
      </c>
    </row>
    <row r="30" spans="1:2" x14ac:dyDescent="0.3">
      <c r="A30" s="1">
        <f>data!A113</f>
        <v>46020</v>
      </c>
      <c r="B30" s="29">
        <f>SUMIF(data!A:A, A30, data!F:F)</f>
        <v>275</v>
      </c>
    </row>
    <row r="31" spans="1:2" x14ac:dyDescent="0.3">
      <c r="A31" s="1">
        <f>data!A117</f>
        <v>46021</v>
      </c>
      <c r="B31" s="29">
        <f>SUMIF(data!A:A, A31, data!F:F)</f>
        <v>245</v>
      </c>
    </row>
    <row r="32" spans="1:2" x14ac:dyDescent="0.3">
      <c r="A3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24FA-4B68-470C-AC8D-E745D19D5069}">
  <sheetPr>
    <pageSetUpPr fitToPage="1"/>
  </sheetPr>
  <dimension ref="A1:G30"/>
  <sheetViews>
    <sheetView tabSelected="1" zoomScale="85" zoomScaleNormal="85" workbookViewId="0">
      <selection activeCell="D37" sqref="D37"/>
    </sheetView>
  </sheetViews>
  <sheetFormatPr defaultRowHeight="14.4" x14ac:dyDescent="0.3"/>
  <cols>
    <col min="1" max="1" width="21.109375" customWidth="1"/>
    <col min="2" max="2" width="16" customWidth="1"/>
    <col min="3" max="3" width="14" customWidth="1"/>
    <col min="4" max="4" width="20.109375" customWidth="1"/>
    <col min="5" max="5" width="84.5546875" customWidth="1"/>
    <col min="6" max="6" width="26.5546875" customWidth="1"/>
    <col min="7" max="7" width="6" customWidth="1"/>
  </cols>
  <sheetData>
    <row r="1" spans="1:7" x14ac:dyDescent="0.3">
      <c r="A1" s="25" t="s">
        <v>42</v>
      </c>
      <c r="B1" s="26"/>
      <c r="C1" s="26"/>
      <c r="D1" s="26"/>
      <c r="E1" s="26"/>
      <c r="F1" s="26"/>
      <c r="G1" s="19"/>
    </row>
    <row r="2" spans="1:7" ht="17.25" customHeight="1" x14ac:dyDescent="0.3">
      <c r="A2" s="27"/>
      <c r="B2" s="28"/>
      <c r="C2" s="28"/>
      <c r="D2" s="28"/>
      <c r="E2" s="28"/>
      <c r="F2" s="28"/>
      <c r="G2" s="10"/>
    </row>
    <row r="3" spans="1:7" x14ac:dyDescent="0.3">
      <c r="A3" s="4"/>
      <c r="B3" s="5"/>
      <c r="C3" s="5"/>
      <c r="D3" s="5"/>
      <c r="E3" s="5"/>
      <c r="F3" s="5"/>
      <c r="G3" s="6"/>
    </row>
    <row r="4" spans="1:7" ht="18" x14ac:dyDescent="0.35">
      <c r="A4" s="4"/>
      <c r="B4" s="5"/>
      <c r="C4" s="5"/>
      <c r="D4" s="5"/>
      <c r="E4" s="5"/>
      <c r="F4" s="15">
        <f>SUM(data!F1:F120)</f>
        <v>14533</v>
      </c>
      <c r="G4" s="20"/>
    </row>
    <row r="5" spans="1:7" ht="18" x14ac:dyDescent="0.35">
      <c r="A5" s="4"/>
      <c r="B5" s="5"/>
      <c r="C5" s="5"/>
      <c r="D5" s="5"/>
      <c r="E5" s="5"/>
      <c r="F5" s="11" t="s">
        <v>43</v>
      </c>
      <c r="G5" s="21"/>
    </row>
    <row r="6" spans="1:7" ht="18" x14ac:dyDescent="0.35">
      <c r="A6" s="4"/>
      <c r="B6" s="5"/>
      <c r="C6" s="5"/>
      <c r="D6" s="5"/>
      <c r="E6" s="5"/>
      <c r="F6" s="18"/>
      <c r="G6" s="12"/>
    </row>
    <row r="7" spans="1:7" ht="18" x14ac:dyDescent="0.35">
      <c r="A7" s="4"/>
      <c r="B7" s="5"/>
      <c r="C7" s="5"/>
      <c r="D7" s="5"/>
      <c r="E7" s="5"/>
      <c r="F7" s="15">
        <f>AVERAGE(HELPER!B:B)</f>
        <v>484.43333333333334</v>
      </c>
      <c r="G7" s="20"/>
    </row>
    <row r="8" spans="1:7" ht="18" x14ac:dyDescent="0.35">
      <c r="A8" s="4"/>
      <c r="B8" s="5"/>
      <c r="C8" s="5"/>
      <c r="D8" s="5"/>
      <c r="E8" s="5"/>
      <c r="F8" s="13" t="s">
        <v>44</v>
      </c>
      <c r="G8" s="12"/>
    </row>
    <row r="9" spans="1:7" ht="18" x14ac:dyDescent="0.35">
      <c r="A9" s="4"/>
      <c r="B9" s="5"/>
      <c r="C9" s="5"/>
      <c r="D9" s="5"/>
      <c r="E9" s="5"/>
      <c r="F9" s="18"/>
      <c r="G9" s="12"/>
    </row>
    <row r="10" spans="1:7" ht="18" x14ac:dyDescent="0.35">
      <c r="A10" s="7"/>
      <c r="B10" s="5"/>
      <c r="C10" s="5"/>
      <c r="D10" s="5"/>
      <c r="E10" s="5"/>
      <c r="F10" s="16">
        <f>INDEX(HELPER!A:A, MATCH(MAX(HELPER!B:B), HELPER!B:B, 0))</f>
        <v>46015</v>
      </c>
      <c r="G10" s="22"/>
    </row>
    <row r="11" spans="1:7" ht="18" x14ac:dyDescent="0.35">
      <c r="A11" s="4"/>
      <c r="B11" s="5"/>
      <c r="C11" s="5"/>
      <c r="D11" s="5"/>
      <c r="E11" s="5"/>
      <c r="F11" s="13" t="s">
        <v>45</v>
      </c>
      <c r="G11" s="12"/>
    </row>
    <row r="12" spans="1:7" ht="18" x14ac:dyDescent="0.35">
      <c r="A12" s="4"/>
      <c r="B12" s="5"/>
      <c r="C12" s="5"/>
      <c r="D12" s="5"/>
      <c r="E12" s="5"/>
      <c r="F12" s="18"/>
      <c r="G12" s="12"/>
    </row>
    <row r="13" spans="1:7" ht="18" x14ac:dyDescent="0.35">
      <c r="A13" s="4"/>
      <c r="B13" s="5"/>
      <c r="C13" s="5"/>
      <c r="D13" s="5"/>
      <c r="E13" s="5"/>
      <c r="F13" s="17" t="str" cm="1">
        <f t="array" ref="F13">INDEX(data!D:D, MATCH(MAX(data!F:F),data!F:F), 0)</f>
        <v>Travel</v>
      </c>
      <c r="G13" s="23"/>
    </row>
    <row r="14" spans="1:7" ht="18" x14ac:dyDescent="0.35">
      <c r="A14" s="4"/>
      <c r="B14" s="5"/>
      <c r="C14" s="5"/>
      <c r="D14" s="5"/>
      <c r="E14" s="5"/>
      <c r="F14" s="14" t="s">
        <v>46</v>
      </c>
      <c r="G14" s="24"/>
    </row>
    <row r="15" spans="1:7" x14ac:dyDescent="0.3">
      <c r="A15" s="4"/>
      <c r="B15" s="5"/>
      <c r="C15" s="5"/>
      <c r="D15" s="5"/>
      <c r="E15" s="5"/>
      <c r="F15" s="5"/>
      <c r="G15" s="6"/>
    </row>
    <row r="16" spans="1:7" x14ac:dyDescent="0.3">
      <c r="A16" s="4"/>
      <c r="B16" s="5"/>
      <c r="C16" s="5"/>
      <c r="D16" s="5"/>
      <c r="E16" s="5"/>
      <c r="F16" s="5"/>
      <c r="G16" s="6"/>
    </row>
    <row r="17" spans="1:7" x14ac:dyDescent="0.3">
      <c r="A17" s="4"/>
      <c r="B17" s="5"/>
      <c r="C17" s="5"/>
      <c r="D17" s="5"/>
      <c r="E17" s="5"/>
      <c r="F17" s="5"/>
      <c r="G17" s="6"/>
    </row>
    <row r="18" spans="1:7" x14ac:dyDescent="0.3">
      <c r="A18" s="4"/>
      <c r="B18" s="5"/>
      <c r="C18" s="5"/>
      <c r="D18" s="5"/>
      <c r="E18" s="5"/>
      <c r="F18" s="5"/>
      <c r="G18" s="6"/>
    </row>
    <row r="19" spans="1:7" x14ac:dyDescent="0.3">
      <c r="A19" s="4"/>
      <c r="B19" s="5"/>
      <c r="C19" s="5"/>
      <c r="D19" s="5"/>
      <c r="E19" s="5"/>
      <c r="F19" s="5"/>
      <c r="G19" s="6"/>
    </row>
    <row r="20" spans="1:7" x14ac:dyDescent="0.3">
      <c r="A20" s="4"/>
      <c r="B20" s="5"/>
      <c r="C20" s="5"/>
      <c r="D20" s="5"/>
      <c r="E20" s="5"/>
      <c r="F20" s="5"/>
      <c r="G20" s="6"/>
    </row>
    <row r="21" spans="1:7" x14ac:dyDescent="0.3">
      <c r="A21" s="4"/>
      <c r="B21" s="5"/>
      <c r="C21" s="5"/>
      <c r="D21" s="5"/>
      <c r="E21" s="5"/>
      <c r="F21" s="5"/>
      <c r="G21" s="6"/>
    </row>
    <row r="22" spans="1:7" x14ac:dyDescent="0.3">
      <c r="A22" s="4"/>
      <c r="B22" s="5"/>
      <c r="C22" s="5"/>
      <c r="D22" s="5"/>
      <c r="E22" s="5"/>
      <c r="F22" s="5"/>
      <c r="G22" s="6"/>
    </row>
    <row r="23" spans="1:7" x14ac:dyDescent="0.3">
      <c r="A23" s="4"/>
      <c r="B23" s="5"/>
      <c r="C23" s="5"/>
      <c r="D23" s="5"/>
      <c r="E23" s="5"/>
      <c r="F23" s="5"/>
      <c r="G23" s="6"/>
    </row>
    <row r="24" spans="1:7" x14ac:dyDescent="0.3">
      <c r="A24" s="4"/>
      <c r="B24" s="5"/>
      <c r="C24" s="5"/>
      <c r="D24" s="5"/>
      <c r="E24" s="5"/>
      <c r="F24" s="5"/>
      <c r="G24" s="6"/>
    </row>
    <row r="25" spans="1:7" x14ac:dyDescent="0.3">
      <c r="A25" s="4"/>
      <c r="B25" s="5"/>
      <c r="C25" s="5"/>
      <c r="D25" s="5"/>
      <c r="E25" s="5"/>
      <c r="F25" s="5"/>
      <c r="G25" s="6"/>
    </row>
    <row r="26" spans="1:7" x14ac:dyDescent="0.3">
      <c r="A26" s="4"/>
      <c r="B26" s="5"/>
      <c r="C26" s="5"/>
      <c r="D26" s="5"/>
      <c r="E26" s="5"/>
      <c r="F26" s="5"/>
      <c r="G26" s="6"/>
    </row>
    <row r="27" spans="1:7" x14ac:dyDescent="0.3">
      <c r="A27" s="4"/>
      <c r="B27" s="5"/>
      <c r="C27" s="5"/>
      <c r="D27" s="5"/>
      <c r="E27" s="5"/>
      <c r="F27" s="5"/>
      <c r="G27" s="6"/>
    </row>
    <row r="28" spans="1:7" x14ac:dyDescent="0.3">
      <c r="A28" s="8"/>
      <c r="B28" s="9"/>
      <c r="C28" s="9"/>
      <c r="D28" s="9"/>
      <c r="E28" s="9"/>
      <c r="F28" s="9"/>
      <c r="G28" s="10"/>
    </row>
    <row r="29" spans="1:7" hidden="1" x14ac:dyDescent="0.3">
      <c r="A29" s="8"/>
      <c r="B29" s="9"/>
      <c r="C29" s="9"/>
      <c r="D29" s="9"/>
      <c r="E29" s="9"/>
      <c r="F29" s="9"/>
      <c r="G29" s="10"/>
    </row>
    <row r="30" spans="1:7" x14ac:dyDescent="0.3">
      <c r="G30" s="3"/>
    </row>
  </sheetData>
  <mergeCells count="1">
    <mergeCell ref="A1:F2"/>
  </mergeCells>
  <pageMargins left="0.7" right="0.7" top="0.75" bottom="0.75" header="0.3" footer="0.3"/>
  <pageSetup paperSize="6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HELPER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Suman Mohapatra</cp:lastModifiedBy>
  <cp:revision/>
  <dcterms:created xsi:type="dcterms:W3CDTF">2026-01-02T19:00:20Z</dcterms:created>
  <dcterms:modified xsi:type="dcterms:W3CDTF">2026-01-02T22:03:34Z</dcterms:modified>
  <cp:category/>
  <cp:contentStatus/>
</cp:coreProperties>
</file>